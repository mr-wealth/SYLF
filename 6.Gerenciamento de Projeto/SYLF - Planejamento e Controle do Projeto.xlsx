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media/image1.png" ContentType="image/png"/>
  <Override PartName="/xl/media/image2.png" ContentType="image/png"/>
  <Override PartName="/xl/media/image3.png" ContentType="image/png"/>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Equipe" sheetId="1" state="visible" r:id="rId3"/>
    <sheet name="Backlog_Produto" sheetId="2" state="visible" r:id="rId4"/>
    <sheet name="Planejamento" sheetId="3" state="visible" r:id="rId5"/>
    <sheet name="Entregas" sheetId="4" state="visible" r:id="rId6"/>
    <sheet name="Riscos" sheetId="5" state="visible" r:id="rId7"/>
    <sheet name="#Estimativa-APF#" sheetId="6" state="visible" r:id="rId8"/>
    <sheet name="#Planejamento-APF#" sheetId="7" state="visible" r:id="rId9"/>
  </sheets>
  <definedNames>
    <definedName function="false" hidden="false" name="Restante" vbProcedure="false">"OFFSET([$#REF!.$B$12];0;0;1;COUNT([$#REF!.$B$12:.$L$12]))"</definedName>
    <definedName function="false" hidden="false" name="Restante2" vbProcedure="false">"OFFSET(#ref!,0,0,1,COUNT(#ref!)))"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Preencher as células em amarelo.</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O identificador da trefa auxilia na criação e uso dos "Post-it" dos quadros Kanban ou Scrum.
</t>
        </r>
      </text>
    </comment>
    <comment ref="B3" authorId="0">
      <text>
        <r>
          <rPr>
            <sz val="10"/>
            <rFont val="Arial"/>
            <family val="2"/>
          </rPr>
          <t xml:space="preserve">Fase / Caso de Uso / História do Usuário
</t>
        </r>
        <r>
          <rPr>
            <sz val="9"/>
            <color rgb="FF000000"/>
            <rFont val="Arial"/>
            <family val="2"/>
            <charset val="1"/>
          </rPr>
          <t xml:space="preserve">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text>
        <r>
          <rPr>
            <sz val="10"/>
            <rFont val="Arial"/>
            <family val="2"/>
          </rPr>
          <t xml:space="preserve">Tarefas
</t>
        </r>
        <r>
          <rPr>
            <sz val="9"/>
            <color rgb="FF000000"/>
            <rFont val="Arial"/>
            <family val="2"/>
            <charset val="1"/>
          </rPr>
          <t xml:space="preserve">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text>
        <r>
          <rPr>
            <sz val="10"/>
            <rFont val="Arial"/>
            <family val="2"/>
          </rPr>
          <t xml:space="preserve">Resultado do Planning Poker, convertido para horas.
</t>
        </r>
      </text>
    </comment>
    <comment ref="F3" authorId="0">
      <text>
        <r>
          <rPr>
            <sz val="10"/>
            <rFont val="Arial"/>
            <family val="2"/>
          </rPr>
          <t xml:space="preserve">O identificador da trefa auxilia na criação e uso dos "Post-it" dos quadros Kanban ou Scrum.
</t>
        </r>
      </text>
    </comment>
    <comment ref="G3" authorId="0">
      <text>
        <r>
          <rPr>
            <sz val="10"/>
            <rFont val="Arial"/>
            <family val="2"/>
          </rPr>
          <t xml:space="preserve">Tarefas
</t>
        </r>
        <r>
          <rPr>
            <sz val="9"/>
            <color rgb="FF000000"/>
            <rFont val="Arial"/>
            <family val="2"/>
            <charset val="1"/>
          </rPr>
          <t xml:space="preserve">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text>
        <r>
          <rPr>
            <sz val="10"/>
            <rFont val="Arial"/>
            <family val="2"/>
          </rPr>
          <t xml:space="preserve">Pontue de 0 a 10.
</t>
        </r>
        <r>
          <rPr>
            <sz val="9"/>
            <color rgb="FF000000"/>
            <rFont val="Arial"/>
            <family val="2"/>
            <charset val="1"/>
          </rPr>
          <t xml:space="preserve">V = Valor: Quanto de valor a história de usuário representa para o usuário final?
</t>
        </r>
      </text>
    </comment>
    <comment ref="I4" authorId="0">
      <text>
        <r>
          <rPr>
            <sz val="10"/>
            <rFont val="Arial"/>
            <family val="2"/>
          </rPr>
          <t xml:space="preserve">Pontue de 0 a 10.
</t>
        </r>
        <r>
          <rPr>
            <sz val="9"/>
            <color rgb="FF000000"/>
            <rFont val="Arial"/>
            <family val="2"/>
            <charset val="1"/>
          </rPr>
          <t xml:space="preserve">R = Risco: Qual é o risco desta história não ser entregue?</t>
        </r>
      </text>
    </comment>
    <comment ref="J4" authorId="0">
      <text>
        <r>
          <rPr>
            <sz val="10"/>
            <rFont val="Arial"/>
            <family val="2"/>
          </rPr>
          <t xml:space="preserve">Somente 10 quando existe Dependência, do contrário 0.
</t>
        </r>
        <r>
          <rPr>
            <sz val="9"/>
            <color rgb="FF000000"/>
            <rFont val="Arial"/>
            <family val="2"/>
            <charset val="1"/>
          </rPr>
          <t xml:space="preserve">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text>
        <r>
          <rPr>
            <sz val="10"/>
            <rFont val="Arial"/>
            <family val="2"/>
          </rPr>
          <t xml:space="preserve">Pontue de 0 a 10.
</t>
        </r>
        <r>
          <rPr>
            <sz val="9"/>
            <color rgb="FF000000"/>
            <rFont val="Arial"/>
            <family val="2"/>
            <charset val="1"/>
          </rPr>
          <t xml:space="preserve">C = Complexidade Técnica: Qual a complexidade técnica (tecnologia) da história?</t>
        </r>
      </text>
    </comment>
    <comment ref="L4" authorId="0">
      <text>
        <r>
          <rPr>
            <sz val="10"/>
            <rFont val="Arial"/>
            <family val="2"/>
          </rPr>
          <t xml:space="preserve">Tem prioridade as de maior peso.
</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Considerando a estimativa e capacidade da equipe sugere-se o seguinte plajenamento.</t>
        </r>
      </text>
    </comment>
    <comment ref="B4" authorId="0">
      <text>
        <r>
          <rPr>
            <sz val="10"/>
            <rFont val="Arial"/>
            <family val="2"/>
          </rPr>
          <t xml:space="preserve">[Comentário encadeado]
</t>
        </r>
        <r>
          <rPr>
            <sz val="10"/>
            <color rgb="FF000000"/>
            <rFont val="Arial"/>
            <family val="2"/>
            <charset val="1"/>
          </rPr>
          <t xml:space="preserve">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text>
        <r>
          <rPr>
            <sz val="10"/>
            <rFont val="Arial"/>
            <family val="2"/>
          </rPr>
          <t xml:space="preserve">As Sprints devem ser criadas no GitHub</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48" authorId="0">
      <text>
        <r>
          <rPr>
            <sz val="10"/>
            <rFont val="Arial"/>
            <family val="2"/>
          </rPr>
          <t xml:space="preserve">Descrição do Risco
</t>
        </r>
        <r>
          <rPr>
            <sz val="8"/>
            <color rgb="FF000000"/>
            <rFont val="Arial"/>
            <family val="2"/>
            <charset val="1"/>
          </rPr>
          <t xml:space="preserve">
Sentença que descreve o risco, definindo o evento que, ao ocorrer, causa impacto no projeto.</t>
        </r>
      </text>
    </comment>
    <comment ref="C48" authorId="0">
      <text>
        <r>
          <rPr>
            <sz val="10"/>
            <rFont val="Arial"/>
            <family val="2"/>
          </rPr>
          <t xml:space="preserve">Data:
</t>
        </r>
        <r>
          <rPr>
            <b val="true"/>
            <sz val="8"/>
            <color rgb="FF000000"/>
            <rFont val="Arial"/>
            <family val="2"/>
            <charset val="1"/>
          </rPr>
          <t xml:space="preserve">
</t>
        </r>
        <r>
          <rPr>
            <sz val="8"/>
            <color rgb="FF000000"/>
            <rFont val="Arial"/>
            <family val="2"/>
            <charset val="1"/>
          </rPr>
          <t xml:space="preserve">Data da identificação do risco ou da alteração de seus atributos durante o monitoramento e controle de riscos.
</t>
        </r>
      </text>
    </comment>
    <comment ref="D48" authorId="0">
      <text>
        <r>
          <rPr>
            <sz val="10"/>
            <rFont val="Arial"/>
            <family val="2"/>
          </rPr>
          <t xml:space="preserve">Probabilidade de Ocorrência:
</t>
        </r>
        <r>
          <rPr>
            <b val="true"/>
            <sz val="8"/>
            <color rgb="FF000000"/>
            <rFont val="Arial"/>
            <family val="2"/>
            <charset val="1"/>
          </rPr>
          <t xml:space="preserve">
</t>
        </r>
        <r>
          <rPr>
            <sz val="8"/>
            <color rgb="FF000000"/>
            <rFont val="Arial"/>
            <family val="2"/>
            <charset val="1"/>
          </rPr>
          <t xml:space="preserve">Probabilidade de o risco ocorrer expressa qualitativamente:
    </t>
        </r>
        <r>
          <rPr>
            <b val="true"/>
            <sz val="8"/>
            <color rgb="FF000000"/>
            <rFont val="Arial"/>
            <family val="2"/>
            <charset val="1"/>
          </rPr>
          <t xml:space="preserve">- Alta: </t>
        </r>
        <r>
          <rPr>
            <sz val="8"/>
            <color rgb="FF000000"/>
            <rFont val="Arial"/>
            <family val="2"/>
            <charset val="1"/>
          </rPr>
          <t xml:space="preserve">Riscos evidentes ao projeto, cuja ocorrência é esperada à curto prazo ou que possuam probabilidade de ocorrência maior ou igual à 50% em algum momento durante o projeto.
    </t>
        </r>
        <r>
          <rPr>
            <b val="true"/>
            <sz val="8"/>
            <color rgb="FF000000"/>
            <rFont val="Arial"/>
            <family val="2"/>
            <charset val="1"/>
          </rPr>
          <t xml:space="preserve">- Média: </t>
        </r>
        <r>
          <rPr>
            <sz val="8"/>
            <color rgb="FF000000"/>
            <rFont val="Arial"/>
            <family val="2"/>
            <charset val="1"/>
          </rPr>
          <t xml:space="preserve">Riscos identificados, para os quais é esperado a ocorrência em algum momento do projeto ou cuja probabilidade é igual ou maior que 15% e menor que 50% ou desconhecida.
    </t>
        </r>
        <r>
          <rPr>
            <b val="true"/>
            <sz val="8"/>
            <color rgb="FF000000"/>
            <rFont val="Arial"/>
            <family val="2"/>
            <charset val="1"/>
          </rPr>
          <t xml:space="preserve">- Baixa: </t>
        </r>
        <r>
          <rPr>
            <sz val="8"/>
            <color rgb="FF000000"/>
            <rFont val="Arial"/>
            <family val="2"/>
            <charset val="1"/>
          </rPr>
          <t xml:space="preserve">Riscos identificados, porém cuja ocorrência não é esperada durante o projeto ou que possuam probabilidade menor que 15%.
</t>
        </r>
      </text>
    </comment>
    <comment ref="E48" authorId="0">
      <text>
        <r>
          <rPr>
            <sz val="10"/>
            <rFont val="Arial"/>
            <family val="2"/>
          </rPr>
          <t xml:space="preserve">Impacto do Risco:
</t>
        </r>
        <r>
          <rPr>
            <b val="true"/>
            <sz val="8"/>
            <color rgb="FF000000"/>
            <rFont val="Arial"/>
            <family val="2"/>
            <charset val="1"/>
          </rPr>
          <t xml:space="preserve">
</t>
        </r>
        <r>
          <rPr>
            <sz val="8"/>
            <color rgb="FF000000"/>
            <rFont val="Arial"/>
            <family val="2"/>
            <charset val="1"/>
          </rPr>
          <t xml:space="preserve">Os desvios de tempo ou custo do que foi planejado se o risco ocorrer, expresso qualitativamente.
    </t>
        </r>
        <r>
          <rPr>
            <b val="true"/>
            <sz val="8"/>
            <color rgb="FF000000"/>
            <rFont val="Arial"/>
            <family val="2"/>
            <charset val="1"/>
          </rPr>
          <t xml:space="preserve">- Alto: </t>
        </r>
        <r>
          <rPr>
            <sz val="8"/>
            <color rgb="FF000000"/>
            <rFont val="Arial"/>
            <family val="2"/>
            <charset val="1"/>
          </rPr>
          <t xml:space="preserve">Risco cujo impacto no tempo ou custo seja igual ou maior que 10% do tempo total do projeto respectivamente.
    </t>
        </r>
        <r>
          <rPr>
            <b val="true"/>
            <sz val="8"/>
            <color rgb="FF000000"/>
            <rFont val="Arial"/>
            <family val="2"/>
            <charset val="1"/>
          </rPr>
          <t xml:space="preserve">- Médio: </t>
        </r>
        <r>
          <rPr>
            <sz val="8"/>
            <color rgb="FF000000"/>
            <rFont val="Arial"/>
            <family val="2"/>
            <charset val="1"/>
          </rPr>
          <t xml:space="preserve">Risco cujo impacto no tempo ou custo seja igual ou maior que 5% e menor que 10% do tempo total do projeto respectivamente.
    </t>
        </r>
        <r>
          <rPr>
            <b val="true"/>
            <sz val="8"/>
            <color rgb="FF000000"/>
            <rFont val="Arial"/>
            <family val="2"/>
            <charset val="1"/>
          </rPr>
          <t xml:space="preserve">- Baixo: </t>
        </r>
        <r>
          <rPr>
            <sz val="8"/>
            <color rgb="FF000000"/>
            <rFont val="Arial"/>
            <family val="2"/>
            <charset val="1"/>
          </rPr>
          <t xml:space="preserve">Risco cujo impacto no tempo ou custo seja menor que 5% do tempo total do projeto respectivamente.
</t>
        </r>
      </text>
    </comment>
    <comment ref="F48" authorId="0">
      <text>
        <r>
          <rPr>
            <sz val="10"/>
            <rFont val="Arial"/>
            <family val="2"/>
          </rPr>
          <t xml:space="preserve">Perda Esperada do RIsco:
</t>
        </r>
        <r>
          <rPr>
            <sz val="8"/>
            <color rgb="FF000000"/>
            <rFont val="Arial"/>
            <family val="2"/>
            <charset val="1"/>
          </rPr>
          <t xml:space="preserve">
A Perda Esperada do Risco identifica a prioridade de tratamento dos riscos.
    </t>
        </r>
        <r>
          <rPr>
            <b val="true"/>
            <sz val="8"/>
            <color rgb="FF000000"/>
            <rFont val="Arial"/>
            <family val="2"/>
            <charset val="1"/>
          </rPr>
          <t xml:space="preserve">- Perda Esperada Alta: </t>
        </r>
        <r>
          <rPr>
            <sz val="8"/>
            <color rgb="FF000000"/>
            <rFont val="Arial"/>
            <family val="2"/>
            <charset val="1"/>
          </rPr>
          <t xml:space="preserve">Riscos de alta prioridade, para os quais devem ser elaborados planos de mitigação ao risco.
    </t>
        </r>
        <r>
          <rPr>
            <b val="true"/>
            <sz val="8"/>
            <color rgb="FF000000"/>
            <rFont val="Arial"/>
            <family val="2"/>
            <charset val="1"/>
          </rPr>
          <t xml:space="preserve">- Perda Esperada Média: </t>
        </r>
        <r>
          <rPr>
            <sz val="8"/>
            <color rgb="FF000000"/>
            <rFont val="Arial"/>
            <family val="2"/>
            <charset val="1"/>
          </rPr>
          <t xml:space="preserve">Riscos de prioridade moderada, para os quais devem ser elaborados, pelo menos, planos de contingência ao risco.
    </t>
        </r>
        <r>
          <rPr>
            <b val="true"/>
            <sz val="8"/>
            <color rgb="FF000000"/>
            <rFont val="Arial"/>
            <family val="2"/>
            <charset val="1"/>
          </rPr>
          <t xml:space="preserve">- Perda Esperada Baixa: </t>
        </r>
        <r>
          <rPr>
            <sz val="8"/>
            <color rgb="FF000000"/>
            <rFont val="Arial"/>
            <family val="2"/>
            <charset val="1"/>
          </rPr>
          <t xml:space="preserve">Riscos de baixa prioridade, para os quais não são necessários planos de resposta ao risco.
</t>
        </r>
      </text>
    </comment>
    <comment ref="G48" authorId="0">
      <text>
        <r>
          <rPr>
            <sz val="10"/>
            <rFont val="Arial"/>
            <family val="2"/>
          </rPr>
          <t xml:space="preserve">Situação do Risco:
</t>
        </r>
        <r>
          <rPr>
            <sz val="8"/>
            <color rgb="FF000000"/>
            <rFont val="Arial"/>
            <family val="2"/>
            <charset val="1"/>
          </rPr>
          <t xml:space="preserve">
Situação atual do risco no projeto:
    </t>
        </r>
        <r>
          <rPr>
            <b val="true"/>
            <sz val="8"/>
            <color rgb="FF000000"/>
            <rFont val="Arial"/>
            <family val="2"/>
            <charset val="1"/>
          </rPr>
          <t xml:space="preserve">- Ativo: </t>
        </r>
        <r>
          <rPr>
            <sz val="8"/>
            <color rgb="FF000000"/>
            <rFont val="Arial"/>
            <family val="2"/>
            <charset val="1"/>
          </rPr>
          <t xml:space="preserve">Risco identificado e monitorado, porém sem nenhuma resposta sendo implementada.
    </t>
        </r>
        <r>
          <rPr>
            <b val="true"/>
            <sz val="8"/>
            <color rgb="FF000000"/>
            <rFont val="Arial"/>
            <family val="2"/>
            <charset val="1"/>
          </rPr>
          <t xml:space="preserve">- Em mitigação: </t>
        </r>
        <r>
          <rPr>
            <sz val="8"/>
            <color rgb="FF000000"/>
            <rFont val="Arial"/>
            <family val="2"/>
            <charset val="1"/>
          </rPr>
          <t xml:space="preserve">Risco para o qual está sendo executada uma estratégia de mitigação.
    </t>
        </r>
        <r>
          <rPr>
            <b val="true"/>
            <sz val="8"/>
            <color rgb="FF000000"/>
            <rFont val="Arial"/>
            <family val="2"/>
            <charset val="1"/>
          </rPr>
          <t xml:space="preserve">- Ocorrido: </t>
        </r>
        <r>
          <rPr>
            <sz val="8"/>
            <color rgb="FF000000"/>
            <rFont val="Arial"/>
            <family val="2"/>
            <charset val="1"/>
          </rPr>
          <t xml:space="preserve">Risco ocorrido no projeto para o qual está sendo aplicada a estratégia de resposta adequada, normalmente a execução de um plano de contingência.
    </t>
        </r>
        <r>
          <rPr>
            <b val="true"/>
            <sz val="8"/>
            <color rgb="FF000000"/>
            <rFont val="Arial"/>
            <family val="2"/>
            <charset val="1"/>
          </rPr>
          <t xml:space="preserve">- Inativo: </t>
        </r>
        <r>
          <rPr>
            <sz val="8"/>
            <color rgb="FF000000"/>
            <rFont val="Arial"/>
            <family val="2"/>
            <charset val="1"/>
          </rPr>
          <t xml:space="preserve">Risco eliminado, naturalmente no decorrer do tempo, por uma ação de resposta ao risco ou por este já ter ocorrido e a ser impossível nova ocorrência.
</t>
        </r>
      </text>
    </comment>
    <comment ref="H48" authorId="0">
      <text>
        <r>
          <rPr>
            <sz val="10"/>
            <rFont val="Arial"/>
            <family val="2"/>
          </rPr>
          <t xml:space="preserve">Gatilhos do Risco:
</t>
        </r>
        <r>
          <rPr>
            <b val="true"/>
            <sz val="8"/>
            <color rgb="FF000000"/>
            <rFont val="Arial"/>
            <family val="2"/>
            <charset val="1"/>
          </rPr>
          <t xml:space="preserve">
</t>
        </r>
        <r>
          <rPr>
            <sz val="8"/>
            <color rgb="FF000000"/>
            <rFont val="Arial"/>
            <family val="2"/>
            <charset val="1"/>
          </rPr>
          <t xml:space="preserve">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text>
        <r>
          <rPr>
            <sz val="10"/>
            <rFont val="Arial"/>
            <family val="2"/>
          </rPr>
          <t xml:space="preserve">Plano de Mitigação do Risco:
</t>
        </r>
        <r>
          <rPr>
            <b val="true"/>
            <sz val="8"/>
            <color rgb="FF000000"/>
            <rFont val="Arial"/>
            <family val="2"/>
            <charset val="1"/>
          </rPr>
          <t xml:space="preserve">
</t>
        </r>
        <r>
          <rPr>
            <sz val="8"/>
            <color rgb="FF000000"/>
            <rFont val="Arial"/>
            <family val="2"/>
            <charset val="1"/>
          </rPr>
          <t xml:space="preserve">Planejamento de ações que busquem reduzir a probabilidade e/ou o impacto da ocorrência do risco
</t>
        </r>
      </text>
    </comment>
    <comment ref="K49" authorId="0">
      <text>
        <r>
          <rPr>
            <sz val="10"/>
            <rFont val="Arial"/>
            <family val="2"/>
          </rPr>
          <t xml:space="preserve">Plano de Contingência do Risco:
</t>
        </r>
        <r>
          <rPr>
            <b val="true"/>
            <sz val="8"/>
            <color rgb="FF000000"/>
            <rFont val="Arial"/>
            <family val="2"/>
            <charset val="1"/>
          </rPr>
          <t xml:space="preserve">
</t>
        </r>
        <r>
          <rPr>
            <sz val="8"/>
            <color rgb="FF000000"/>
            <rFont val="Arial"/>
            <family val="2"/>
            <charset val="1"/>
          </rPr>
          <t xml:space="preserve">Estratégia de reação aos efeitos do risco, caso este venha a ocorrer.
</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Arquilo Lógico Interno e Arquivo de Interface Externa
</t>
        </r>
        <r>
          <rPr>
            <b val="true"/>
            <sz val="9"/>
            <color rgb="FF000000"/>
            <rFont val="Arial"/>
            <family val="2"/>
            <charset val="1"/>
          </rPr>
          <t xml:space="preserve">
</t>
        </r>
        <r>
          <rPr>
            <sz val="9"/>
            <color rgb="FF000000"/>
            <rFont val="Arial"/>
            <family val="2"/>
            <charset val="1"/>
          </rPr>
          <t xml:space="preserve">Registros Lógicos são subconjuntos de dados dentro de um ALI/AIE, que foram
reconhecidos pelo usuário.
Um Item de Dados, por sua vez, é um campo único e não repetido. E só devem ser contados os utilizados pela aplicação em contagem.
</t>
        </r>
        <r>
          <rPr>
            <b val="true"/>
            <sz val="9"/>
            <color rgb="FF000000"/>
            <rFont val="Arial"/>
            <family val="2"/>
            <charset val="1"/>
          </rPr>
          <t xml:space="preserve">
Como contar as funções de dados (arquivos ou tabelas)?
</t>
        </r>
        <r>
          <rPr>
            <sz val="9"/>
            <color rgb="FF000000"/>
            <rFont val="Arial"/>
            <family val="2"/>
            <charset val="1"/>
          </rPr>
          <t xml:space="preserve">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text>
        <r>
          <rPr>
            <sz val="10"/>
            <rFont val="Arial"/>
            <family val="2"/>
          </rPr>
          <t xml:space="preserve">EE - Entrada externa
</t>
        </r>
        <r>
          <rPr>
            <b val="true"/>
            <sz val="9"/>
            <color rgb="FF000000"/>
            <rFont val="Arial"/>
            <family val="2"/>
            <charset val="1"/>
          </rPr>
          <t xml:space="preserve">SE - Saída externa
CE - Consulta externa
</t>
        </r>
        <r>
          <rPr>
            <sz val="9"/>
            <color rgb="FF000000"/>
            <rFont val="Arial"/>
            <family val="2"/>
            <charset val="1"/>
          </rPr>
          <t xml:space="preserve">Registros Lógicos são subconjuntos de dados dentro de um ALI/AIE, que foram reconhecidos pelo usuário e utilizados pela função.
Um Item de Dados, por sua vez, é um campo único e não repetido. E só devem ser contados os utilizados pela aplicação em contagem.
</t>
        </r>
        <r>
          <rPr>
            <b val="true"/>
            <sz val="9"/>
            <color rgb="FF000000"/>
            <rFont val="Arial"/>
            <family val="2"/>
            <charset val="1"/>
          </rPr>
          <t xml:space="preserve">
Como contar as funções transacionais (funcionalidades, caso de uso, história de usuário)?
</t>
        </r>
        <r>
          <rPr>
            <sz val="9"/>
            <color rgb="FF000000"/>
            <rFont val="Arial"/>
            <family val="2"/>
            <charset val="1"/>
          </rPr>
          <t xml:space="preserve">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r>
          <rPr>
            <b val="true"/>
            <sz val="9"/>
            <color rgb="FF000000"/>
            <rFont val="Arial"/>
            <family val="2"/>
            <charset val="1"/>
          </rPr>
          <t xml:space="preserve">
</t>
        </r>
      </text>
    </comment>
    <comment ref="G7" authorId="0">
      <text>
        <r>
          <rPr>
            <sz val="10"/>
            <rFont val="Arial"/>
            <family val="2"/>
          </rPr>
          <t xml:space="preserve">Arquilo Lógico Interno e Arquivo de Interface Externa
</t>
        </r>
        <r>
          <rPr>
            <sz val="9"/>
            <color rgb="FF000000"/>
            <rFont val="Arial"/>
            <family val="2"/>
            <charset val="1"/>
          </rPr>
          <t xml:space="preserve">
Registros Lógicos são subconjuntos de dados dentro de um ALI/AIE, que foram reconhecidos pelo usuário.
Um Item de Dados, por sua vez, é um campo único e não repetido. E só devem ser contados os utilizados pela aplicação em contagem.
</t>
        </r>
        <r>
          <rPr>
            <b val="true"/>
            <sz val="9"/>
            <color rgb="FF000000"/>
            <rFont val="Arial"/>
            <family val="2"/>
            <charset val="1"/>
          </rPr>
          <t xml:space="preserve">
Como contar as funções de dados (arquivos ou tabelas)?
</t>
        </r>
        <r>
          <rPr>
            <sz val="9"/>
            <color rgb="FF000000"/>
            <rFont val="Arial"/>
            <family val="2"/>
            <charset val="1"/>
          </rPr>
          <t xml:space="preserve">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G9" authorId="0">
      <text>
        <r>
          <rPr>
            <sz val="10"/>
            <rFont val="Arial"/>
            <family val="2"/>
          </rPr>
          <t xml:space="preserve">Arquivo Lógico Interno (ALI)
</t>
        </r>
        <r>
          <rPr>
            <b val="true"/>
            <sz val="9"/>
            <color rgb="FF000000"/>
            <rFont val="Arial"/>
            <family val="2"/>
            <charset val="1"/>
          </rPr>
          <t xml:space="preserve">
</t>
        </r>
        <r>
          <rPr>
            <sz val="9"/>
            <color rgb="FF000000"/>
            <rFont val="Arial"/>
            <family val="2"/>
            <charset val="1"/>
          </rPr>
          <t xml:space="preserve">São arquivos/tabelas mantidas dentro da fronteira da aplicação, isto é, armazena dados mantidos através de um ou mais processos elementares da aplicação.
</t>
        </r>
      </text>
    </comment>
    <comment ref="G10" authorId="0">
      <text>
        <r>
          <rPr>
            <sz val="10"/>
            <rFont val="Arial"/>
            <family val="2"/>
          </rPr>
          <t xml:space="preserve">Arquivos de Interface Externa (AIEs)
</t>
        </r>
        <r>
          <rPr>
            <b val="true"/>
            <sz val="9"/>
            <color rgb="FF000000"/>
            <rFont val="Arial"/>
            <family val="2"/>
            <charset val="1"/>
          </rPr>
          <t xml:space="preserve">
</t>
        </r>
        <r>
          <rPr>
            <sz val="9"/>
            <color rgb="FF000000"/>
            <rFont val="Arial"/>
            <family val="2"/>
            <charset val="1"/>
          </rPr>
          <t xml:space="preserve">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G11" authorId="0">
      <text>
        <r>
          <rPr>
            <sz val="10"/>
            <rFont val="Arial"/>
            <family val="2"/>
          </rPr>
          <t xml:space="preserve">EE - Entrada externa
</t>
        </r>
        <r>
          <rPr>
            <b val="true"/>
            <sz val="9"/>
            <color rgb="FF000000"/>
            <rFont val="Arial"/>
            <family val="2"/>
            <charset val="1"/>
          </rPr>
          <t xml:space="preserve">SE - Saída externa
CE - Consulta externa
</t>
        </r>
        <r>
          <rPr>
            <sz val="9"/>
            <color rgb="FF000000"/>
            <rFont val="Arial"/>
            <family val="2"/>
            <charset val="1"/>
          </rPr>
          <t xml:space="preserve">
Registros Lógicos são subconjuntos de dados dentro de um ALI/AIE, que foram reconhecidos pelo usuário e utilizados pela função.
Um Item de Dados, por sua vez, é um campo único e não repetido. E só devem ser contados os utilizados pela aplicação em contagem.
</t>
        </r>
        <r>
          <rPr>
            <b val="true"/>
            <sz val="9"/>
            <color rgb="FF000000"/>
            <rFont val="Arial"/>
            <family val="2"/>
            <charset val="1"/>
          </rPr>
          <t xml:space="preserve">Como contar as funções transacionais (funcionalidades, caso de uso, história de usuário)?
</t>
        </r>
        <r>
          <rPr>
            <sz val="9"/>
            <color rgb="FF000000"/>
            <rFont val="Arial"/>
            <family val="2"/>
            <charset val="1"/>
          </rPr>
          <t xml:space="preserve">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12" authorId="0">
      <text>
        <r>
          <rPr>
            <sz val="10"/>
            <rFont val="Arial"/>
            <family val="2"/>
          </rPr>
          <t xml:space="preserve">EE - Entrada externa
</t>
        </r>
        <r>
          <rPr>
            <b val="true"/>
            <sz val="9"/>
            <color rgb="FF000000"/>
            <rFont val="Arial"/>
            <family val="2"/>
            <charset val="1"/>
          </rPr>
          <t xml:space="preserve">SE - Saída externa
CE - Consulta externa
</t>
        </r>
        <r>
          <rPr>
            <sz val="9"/>
            <color rgb="FF000000"/>
            <rFont val="Arial"/>
            <family val="2"/>
            <charset val="1"/>
          </rPr>
          <t xml:space="preserve">Registros Lógicos são subconjuntos de dados dentro de um ALI/AIE, que foram reconhecidos pelo usuário e utilizados pela função.
Um Item de Dados, por sua vez, é um campo único e não repetido. E só devem ser contados os utilizados pela aplicação em contagem.
</t>
        </r>
        <r>
          <rPr>
            <b val="true"/>
            <sz val="9"/>
            <color rgb="FF000000"/>
            <rFont val="Arial"/>
            <family val="2"/>
            <charset val="1"/>
          </rPr>
          <t xml:space="preserve">Como contar as funções transacionais (funcionalidades, caso de uso, história de usuário)?
</t>
        </r>
        <r>
          <rPr>
            <sz val="9"/>
            <color rgb="FF000000"/>
            <rFont val="Arial"/>
            <family val="2"/>
            <charset val="1"/>
          </rPr>
          <t xml:space="preserve">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13" authorId="0">
      <text>
        <r>
          <rPr>
            <sz val="10"/>
            <rFont val="Arial"/>
            <family val="2"/>
          </rPr>
          <t xml:space="preserve">Entradas Externas (EEs)
</t>
        </r>
        <r>
          <rPr>
            <b val="true"/>
            <sz val="9"/>
            <color rgb="FF000000"/>
            <rFont val="Arial"/>
            <family val="2"/>
            <charset val="1"/>
          </rPr>
          <t xml:space="preserve">
</t>
        </r>
        <r>
          <rPr>
            <sz val="9"/>
            <color rgb="FF000000"/>
            <rFont val="Arial"/>
            <family val="2"/>
            <charset val="1"/>
          </rPr>
          <t xml:space="preserve">São processos elementares que processam dados (ou
informações de controle) que entram pela fronteira da aplicação. O objetivo principal de uma EE é manter um ou mais ALIs ou alterar o comportamento do sistema.
</t>
        </r>
      </text>
    </comment>
    <comment ref="G14" authorId="0">
      <text>
        <r>
          <rPr>
            <sz val="10"/>
            <rFont val="Arial"/>
            <family val="2"/>
          </rPr>
          <t xml:space="preserve">Saídas Externas (SEs)
</t>
        </r>
        <r>
          <rPr>
            <sz val="9"/>
            <color rgb="FF000000"/>
            <rFont val="Arial"/>
            <family val="2"/>
            <charset val="1"/>
          </rPr>
          <t xml:space="preserve">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G15" authorId="0">
      <text>
        <r>
          <rPr>
            <sz val="10"/>
            <rFont val="Arial"/>
            <family val="2"/>
          </rPr>
          <t xml:space="preserve">Consulta Externa (CE)
</t>
        </r>
        <r>
          <rPr>
            <b val="true"/>
            <sz val="9"/>
            <color rgb="FF000000"/>
            <rFont val="Arial"/>
            <family val="2"/>
            <charset val="1"/>
          </rPr>
          <t xml:space="preserve">
</t>
        </r>
        <r>
          <rPr>
            <sz val="9"/>
            <color rgb="FF000000"/>
            <rFont val="Arial"/>
            <family val="2"/>
            <charset val="1"/>
          </rPr>
          <t xml:space="preserve">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7" authorId="0">
      <text>
        <r>
          <rPr>
            <sz val="10"/>
            <rFont val="Arial"/>
            <family val="2"/>
          </rPr>
          <t xml:space="preserve">Para se calcular o fator de ajuste, são usadas 14 características gerais dos sistemas.
</t>
        </r>
        <r>
          <rPr>
            <sz val="9"/>
            <color rgb="FF000000"/>
            <rFont val="Arial"/>
            <family val="2"/>
            <charset val="1"/>
          </rPr>
          <t xml:space="preserve">
Para cada uma deve-se atribuir um valor de 0 (nenhuma influência) a 5 (forte influência), dito grau ou nível de influência, que indica o quanto determinada característica tem influência no sistema.
</t>
        </r>
      </text>
    </comment>
    <comment ref="M9" authorId="0">
      <text>
        <r>
          <rPr>
            <sz val="10"/>
            <rFont val="Arial"/>
            <family val="2"/>
          </rPr>
          <t xml:space="preserve">Comunicação de dados: </t>
        </r>
        <r>
          <rPr>
            <sz val="9"/>
            <color rgb="FF000000"/>
            <rFont val="Arial"/>
            <family val="2"/>
            <charset val="1"/>
          </rPr>
          <t xml:space="preserve">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M10" authorId="0">
      <text>
        <r>
          <rPr>
            <sz val="10"/>
            <rFont val="Arial"/>
            <family val="2"/>
          </rPr>
          <t xml:space="preserve">Processamento de Dados Distribuído: </t>
        </r>
        <r>
          <rPr>
            <sz val="9"/>
            <color rgb="FF000000"/>
            <rFont val="Arial"/>
            <family val="2"/>
            <charset val="1"/>
          </rPr>
          <t xml:space="preserve">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M11" authorId="0">
      <text>
        <r>
          <rPr>
            <sz val="10"/>
            <rFont val="Arial"/>
            <family val="2"/>
          </rPr>
          <t xml:space="preserve">Desempenho: </t>
        </r>
        <r>
          <rPr>
            <sz val="9"/>
            <color rgb="FF000000"/>
            <rFont val="Arial"/>
            <family val="2"/>
            <charset val="1"/>
          </rPr>
          <t xml:space="preserve">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M12" authorId="0">
      <text>
        <r>
          <rPr>
            <sz val="10"/>
            <rFont val="Arial"/>
            <family val="2"/>
          </rPr>
          <t xml:space="preserve">Utilização do Equipamento: </t>
        </r>
        <r>
          <rPr>
            <sz val="9"/>
            <color rgb="FF000000"/>
            <rFont val="Arial"/>
            <family val="2"/>
            <charset val="1"/>
          </rPr>
          <t xml:space="preserve">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M13" authorId="0">
      <text>
        <r>
          <rPr>
            <sz val="10"/>
            <rFont val="Arial"/>
            <family val="2"/>
          </rPr>
          <t xml:space="preserve">Volume de transações: </t>
        </r>
        <r>
          <rPr>
            <sz val="9"/>
            <color rgb="FF000000"/>
            <rFont val="Arial"/>
            <family val="2"/>
            <charset val="1"/>
          </rPr>
          <t xml:space="preserve">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M14" authorId="0">
      <text>
        <r>
          <rPr>
            <sz val="10"/>
            <rFont val="Arial"/>
            <family val="2"/>
          </rPr>
          <t xml:space="preserve">Entrada de dados on-line: </t>
        </r>
        <r>
          <rPr>
            <sz val="9"/>
            <color rgb="FF000000"/>
            <rFont val="Arial"/>
            <family val="2"/>
            <charset val="1"/>
          </rPr>
          <t xml:space="preserve">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M15" authorId="0">
      <text>
        <r>
          <rPr>
            <sz val="10"/>
            <rFont val="Arial"/>
            <family val="2"/>
          </rPr>
          <t xml:space="preserve">Usabilidade: </t>
        </r>
        <r>
          <rPr>
            <sz val="9"/>
            <color rgb="FF000000"/>
            <rFont val="Arial"/>
            <family val="2"/>
            <charset val="1"/>
          </rPr>
          <t xml:space="preserve">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text>
        <r>
          <rPr>
            <sz val="10"/>
            <rFont val="Arial"/>
            <family val="2"/>
          </rPr>
          <t xml:space="preserve">Atualizações on-line: </t>
        </r>
        <r>
          <rPr>
            <sz val="9"/>
            <color rgb="FF000000"/>
            <rFont val="Arial"/>
            <family val="2"/>
            <charset val="1"/>
          </rPr>
          <t xml:space="preserve">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text>
        <r>
          <rPr>
            <sz val="10"/>
            <rFont val="Arial"/>
            <family val="2"/>
          </rPr>
          <t xml:space="preserve">Processamento complexo:</t>
        </r>
        <r>
          <rPr>
            <sz val="9"/>
            <color rgb="FF000000"/>
            <rFont val="Arial"/>
            <family val="2"/>
            <charset val="1"/>
          </rPr>
          <t xml:space="preserve">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text>
        <r>
          <rPr>
            <sz val="10"/>
            <rFont val="Arial"/>
            <family val="2"/>
          </rPr>
          <t xml:space="preserve">Reusabilidade: </t>
        </r>
        <r>
          <rPr>
            <sz val="9"/>
            <color rgb="FF000000"/>
            <rFont val="Arial"/>
            <family val="2"/>
            <charset val="1"/>
          </rPr>
          <t xml:space="preserve">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text>
        <r>
          <rPr>
            <sz val="10"/>
            <rFont val="Arial"/>
            <family val="2"/>
          </rPr>
          <t xml:space="preserve">Facilidade de implantação:</t>
        </r>
        <r>
          <rPr>
            <sz val="9"/>
            <color rgb="FF000000"/>
            <rFont val="Arial"/>
            <family val="2"/>
            <charset val="1"/>
          </rPr>
          <t xml:space="preserve">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text>
        <r>
          <rPr>
            <sz val="10"/>
            <rFont val="Arial"/>
            <family val="2"/>
          </rPr>
          <t xml:space="preserve">Facilidade operacional: </t>
        </r>
        <r>
          <rPr>
            <sz val="9"/>
            <color rgb="FF000000"/>
            <rFont val="Arial"/>
            <family val="2"/>
            <charset val="1"/>
          </rPr>
          <t xml:space="preserve">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text>
        <r>
          <rPr>
            <sz val="10"/>
            <rFont val="Arial"/>
            <family val="2"/>
          </rPr>
          <t xml:space="preserve">Múltiplos Locais e Organizações do Usuário: </t>
        </r>
        <r>
          <rPr>
            <sz val="9"/>
            <color rgb="FF000000"/>
            <rFont val="Arial"/>
            <family val="2"/>
            <charset val="1"/>
          </rPr>
          <t xml:space="preserve">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text>
        <r>
          <rPr>
            <sz val="10"/>
            <rFont val="Arial"/>
            <family val="2"/>
          </rPr>
          <t xml:space="preserve"> Facilidade de mudanças: </t>
        </r>
        <r>
          <rPr>
            <sz val="9"/>
            <color rgb="FF000000"/>
            <rFont val="Arial"/>
            <family val="2"/>
            <charset val="1"/>
          </rPr>
          <t xml:space="preserve">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 ref="N8" authorId="0">
      <text>
        <r>
          <rPr>
            <sz val="10"/>
            <rFont val="Arial"/>
            <family val="2"/>
          </rPr>
          <t xml:space="preserve">Grau de Influência
</t>
        </r>
        <r>
          <rPr>
            <sz val="9"/>
            <color rgb="FF000000"/>
            <rFont val="Arial"/>
            <family val="2"/>
            <charset val="1"/>
          </rPr>
          <t xml:space="preserve">
0 (nenhuma influência)
5 (forte influência)</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Considerando a estimativa e capacidade da equipe sugere-se o seguinte plajenamento.</t>
        </r>
      </text>
    </comment>
  </commentList>
</comments>
</file>

<file path=xl/sharedStrings.xml><?xml version="1.0" encoding="utf-8"?>
<sst xmlns="http://schemas.openxmlformats.org/spreadsheetml/2006/main" count="324" uniqueCount="233">
  <si>
    <t xml:space="preserve">Equipe</t>
  </si>
  <si>
    <t xml:space="preserve">SYLF - See Your Line Follower</t>
  </si>
  <si>
    <t xml:space="preserve">Papel</t>
  </si>
  <si>
    <t xml:space="preserve">Nome</t>
  </si>
  <si>
    <t xml:space="preserve">E-mail</t>
  </si>
  <si>
    <t xml:space="preserve">Scrum Master</t>
  </si>
  <si>
    <t xml:space="preserve">Brian Kofi Agyei Wealth</t>
  </si>
  <si>
    <t xml:space="preserve">brianbrahmswealth@gmail.com/ a.wealth@aluno.ifsp.edu.br</t>
  </si>
  <si>
    <t xml:space="preserve">Owner</t>
  </si>
  <si>
    <t xml:space="preserve">Desenvolvedor</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</si>
  <si>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</si>
  <si>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</si>
  <si>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</si>
  <si>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</si>
  <si>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 xml:space="preserve">Id</t>
  </si>
  <si>
    <t xml:space="preserve">Fases</t>
  </si>
  <si>
    <t xml:space="preserve">Tarefas (Casos de Uso/Histórias de Usuário/Tarefas do Processo/Outras Tarefas)</t>
  </si>
  <si>
    <t xml:space="preserve">Estimativa</t>
  </si>
  <si>
    <t xml:space="preserve">Casos de Uso ou Histórias de Usuário</t>
  </si>
  <si>
    <t xml:space="preserve">Iniciação</t>
  </si>
  <si>
    <t xml:space="preserve">Horas</t>
  </si>
  <si>
    <t xml:space="preserve">Seq.</t>
  </si>
  <si>
    <t xml:space="preserve">Descrição</t>
  </si>
  <si>
    <t xml:space="preserve">Valor</t>
  </si>
  <si>
    <t xml:space="preserve">Risco</t>
  </si>
  <si>
    <t xml:space="preserve">Dependência</t>
  </si>
  <si>
    <t xml:space="preserve">Complexidade Técnica</t>
  </si>
  <si>
    <t xml:space="preserve">Prioridade</t>
  </si>
  <si>
    <t xml:space="preserve">Realizar o pré-projeto</t>
  </si>
  <si>
    <t xml:space="preserve">UC1 -  Cadastrar Robo</t>
  </si>
  <si>
    <t xml:space="preserve">Criar ambiente do projeto</t>
  </si>
  <si>
    <t xml:space="preserve">UC2 – Inicializar Robo</t>
  </si>
  <si>
    <t xml:space="preserve">Definir escopo</t>
  </si>
  <si>
    <t xml:space="preserve">UC3 – Monitorar e Controlar Robo</t>
  </si>
  <si>
    <t xml:space="preserve">Planejar o projeto</t>
  </si>
  <si>
    <t xml:space="preserve">Aplicar Checlist da fase</t>
  </si>
  <si>
    <t xml:space="preserve">Revisar planejamento</t>
  </si>
  <si>
    <t xml:space="preserve">Elaboração</t>
  </si>
  <si>
    <t xml:space="preserve">Planejar o Sprint</t>
  </si>
  <si>
    <t xml:space="preserve">Estudar tecnologias</t>
  </si>
  <si>
    <t xml:space="preserve">Preparar Ambiente de Desenvolvimento</t>
  </si>
  <si>
    <t xml:space="preserve">Especificar, Analisar e Projetar  UC1 -  Realizar inicialização e parada emergencial de modo sem fio.</t>
  </si>
  <si>
    <t xml:space="preserve">Modelar,implementar e testar a arquitetura de UC1</t>
  </si>
  <si>
    <t xml:space="preserve">Criar Guia de Implementação de UC1</t>
  </si>
  <si>
    <t xml:space="preserve">Implementar e testar a arquitetura de UC1</t>
  </si>
  <si>
    <t xml:space="preserve">Aplicar Checklist da fase</t>
  </si>
  <si>
    <t xml:space="preserve">Revisar Planejamento</t>
  </si>
  <si>
    <t xml:space="preserve">Construção</t>
  </si>
  <si>
    <t xml:space="preserve">Desenvolver o UC1</t>
  </si>
  <si>
    <t xml:space="preserve">Desenvolver o UC2</t>
  </si>
  <si>
    <t xml:space="preserve">Desenvolver o UC3</t>
  </si>
  <si>
    <t xml:space="preserve">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</si>
  <si>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</si>
  <si>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</si>
  <si>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</si>
  <si>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</si>
  <si>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</si>
  <si>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</si>
  <si>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</si>
  <si>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</si>
  <si>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</si>
  <si>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</si>
  <si>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 xml:space="preserve">horas</t>
  </si>
  <si>
    <t xml:space="preserve">Ajuste base histórica (margem de erro da estimativa)</t>
  </si>
  <si>
    <t xml:space="preserve">% de erro de estimativa</t>
  </si>
  <si>
    <t xml:space="preserve"> </t>
  </si>
  <si>
    <t xml:space="preserve">Qde desenvolvedores</t>
  </si>
  <si>
    <t xml:space="preserve">Jornada de trabalho semanal por desenvolvedor</t>
  </si>
  <si>
    <t xml:space="preserve">Capacidade do Time por Sprint</t>
  </si>
  <si>
    <t xml:space="preserve">Número de SPRINTs (sprint = 2 semanas)</t>
  </si>
  <si>
    <t xml:space="preserve">sprints</t>
  </si>
  <si>
    <t xml:space="preserve">Esforço total</t>
  </si>
  <si>
    <t xml:space="preserve">Prazo em semanas</t>
  </si>
  <si>
    <t xml:space="preserve">semanas</t>
  </si>
  <si>
    <t xml:space="preserve">Prazo em meses</t>
  </si>
  <si>
    <t xml:space="preserve">meses</t>
  </si>
  <si>
    <t xml:space="preserve">Análise Financeira</t>
  </si>
  <si>
    <t xml:space="preserve">Valor hora média desenvolvedor</t>
  </si>
  <si>
    <t xml:space="preserve">Custo direto</t>
  </si>
  <si>
    <t xml:space="preserve">Percentual do custo indireto</t>
  </si>
  <si>
    <t xml:space="preserve">Custo indireto</t>
  </si>
  <si>
    <t xml:space="preserve">Custo</t>
  </si>
  <si>
    <t xml:space="preserve">Percentual de lucro desejado</t>
  </si>
  <si>
    <t xml:space="preserve">Valor lucro</t>
  </si>
  <si>
    <t xml:space="preserve">Preço</t>
  </si>
  <si>
    <t xml:space="preserve">Monitoramento e Controle do Projeto (Plano de Entregas)</t>
  </si>
  <si>
    <t xml:space="preserve">Carga Horária Total</t>
  </si>
  <si>
    <t xml:space="preserve">PREVISTO</t>
  </si>
  <si>
    <t xml:space="preserve">REALIZADO</t>
  </si>
  <si>
    <t xml:space="preserve">Sprint</t>
  </si>
  <si>
    <t xml:space="preserve">Produtos</t>
  </si>
  <si>
    <t xml:space="preserve">Data Início</t>
  </si>
  <si>
    <t xml:space="preserve">Data Fim</t>
  </si>
  <si>
    <t xml:space="preserve">Status</t>
  </si>
  <si>
    <t xml:space="preserve">Data Término</t>
  </si>
  <si>
    <t xml:space="preserve">Diferença (hs)</t>
  </si>
  <si>
    <t xml:space="preserve">Versão</t>
  </si>
  <si>
    <t xml:space="preserve">Visão, modelo de caso de uso e plano do projeto</t>
  </si>
  <si>
    <t xml:space="preserve">21/8/2025</t>
  </si>
  <si>
    <t xml:space="preserve">Entregue</t>
  </si>
  <si>
    <t xml:space="preserve">Release- 1.1.1</t>
  </si>
  <si>
    <t xml:space="preserve">UC1 -  Realizar inicialização e parada emergencial de modo sem fio.</t>
  </si>
  <si>
    <t xml:space="preserve">Planejado</t>
  </si>
  <si>
    <t xml:space="preserve">Lista de Riscos</t>
  </si>
  <si>
    <t xml:space="preserve">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</si>
  <si>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</si>
  <si>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</si>
  <si>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</si>
  <si>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</si>
  <si>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</si>
  <si>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</si>
  <si>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</si>
  <si>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</si>
  <si>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</si>
  <si>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</si>
  <si>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</si>
  <si>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 xml:space="preserve">Baixa</t>
  </si>
  <si>
    <t xml:space="preserve">Média</t>
  </si>
  <si>
    <t xml:space="preserve">Alta</t>
  </si>
  <si>
    <t xml:space="preserve">Impacto</t>
  </si>
  <si>
    <t xml:space="preserve">Baixo</t>
  </si>
  <si>
    <t xml:space="preserve">Médio</t>
  </si>
  <si>
    <t xml:space="preserve">Alto</t>
  </si>
  <si>
    <t xml:space="preserve">Situação</t>
  </si>
  <si>
    <t xml:space="preserve">Ativo</t>
  </si>
  <si>
    <t xml:space="preserve">Em Mitigação</t>
  </si>
  <si>
    <t xml:space="preserve">Ocorrido</t>
  </si>
  <si>
    <t xml:space="preserve">Inativo</t>
  </si>
  <si>
    <t xml:space="preserve">Estratégia</t>
  </si>
  <si>
    <t xml:space="preserve">Eliminação</t>
  </si>
  <si>
    <t xml:space="preserve">Transferência</t>
  </si>
  <si>
    <t xml:space="preserve">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</si>
  <si>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</si>
  <si>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</si>
  <si>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</si>
  <si>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</si>
  <si>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</si>
  <si>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</si>
  <si>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</si>
  <si>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</si>
  <si>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</si>
  <si>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</si>
  <si>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r>
      <rPr>
        <sz val="8"/>
        <color rgb="FF000000"/>
        <rFont val="Arial"/>
        <family val="2"/>
        <charset val="1"/>
      </rPr>
      <t xml:space="preserve">As colunas em amarelo escuro são prenchidas durante a </t>
    </r>
    <r>
      <rPr>
        <b val="true"/>
        <sz val="8"/>
        <color rgb="FF000000"/>
        <rFont val="Arial"/>
        <family val="2"/>
        <charset val="1"/>
      </rPr>
      <t xml:space="preserve">identificação</t>
    </r>
    <r>
      <rPr>
        <sz val="8"/>
        <color rgb="FF000000"/>
        <rFont val="Arial"/>
        <family val="2"/>
        <charset val="1"/>
      </rPr>
      <t xml:space="preserve"> do risco e normalmente não são alteradas durante a execução do projeto.</t>
    </r>
  </si>
  <si>
    <t xml:space="preserve">As colunas em amarelo claro são preenchidas durante a avaliação qualitativa dos riscos e periodicamente revisadas durante as reuniões de revisão do processo.</t>
  </si>
  <si>
    <r>
      <rPr>
        <sz val="8"/>
        <color rgb="FF000000"/>
        <rFont val="Arial"/>
        <family val="2"/>
        <charset val="1"/>
      </rPr>
      <t xml:space="preserve">As células em branco contém fórmulas e </t>
    </r>
    <r>
      <rPr>
        <b val="true"/>
        <sz val="8"/>
        <color rgb="FF000000"/>
        <rFont val="Arial"/>
        <family val="2"/>
        <charset val="1"/>
      </rPr>
      <t xml:space="preserve">não devem ser editadas</t>
    </r>
  </si>
  <si>
    <t xml:space="preserve">Riscos do Projeto</t>
  </si>
  <si>
    <t xml:space="preserve">ID</t>
  </si>
  <si>
    <t xml:space="preserve">Identificação</t>
  </si>
  <si>
    <t xml:space="preserve">Descrição do Risco</t>
  </si>
  <si>
    <t xml:space="preserve">Data</t>
  </si>
  <si>
    <t xml:space="preserve">Probabilidade</t>
  </si>
  <si>
    <t xml:space="preserve">Perda Esperada</t>
  </si>
  <si>
    <t xml:space="preserve">Estratégia de Resposta</t>
  </si>
  <si>
    <t xml:space="preserve">Plano de Eliminação</t>
  </si>
  <si>
    <t xml:space="preserve">Plano de Mitigação</t>
  </si>
  <si>
    <t xml:space="preserve">Plano de Contingência</t>
  </si>
  <si>
    <t xml:space="preserve">Atrasar a entrega do sistema</t>
  </si>
  <si>
    <t xml:space="preserve">Aumentar carga horária de 20 horas para 30 horas por semana.</t>
  </si>
  <si>
    <t xml:space="preserve">Reduzir cargo de trabalho a ser entregue.</t>
  </si>
  <si>
    <t xml:space="preserve">APF (Método de estimativa de tamanho de sistema)</t>
  </si>
  <si>
    <r>
      <rPr>
        <sz val="9"/>
        <color rgb="FF000000"/>
        <rFont val="Arial"/>
        <family val="2"/>
        <charset val="1"/>
      </rPr>
      <t xml:space="preserve">As colunas em amarelo escuro são prenchidas durante a </t>
    </r>
    <r>
      <rPr>
        <b val="true"/>
        <sz val="9"/>
        <color rgb="FF000000"/>
        <rFont val="Arial"/>
        <family val="2"/>
        <charset val="1"/>
      </rPr>
      <t xml:space="preserve">contagem</t>
    </r>
    <r>
      <rPr>
        <sz val="9"/>
        <color rgb="FF000000"/>
        <rFont val="Arial"/>
        <family val="2"/>
        <charset val="1"/>
      </rPr>
      <t xml:space="preserve"> e normalmente não são alteradas durante a execução do projeto.</t>
    </r>
  </si>
  <si>
    <t xml:space="preserve">As colunas em amarelo claro são preenchidas durante</t>
  </si>
  <si>
    <r>
      <rPr>
        <sz val="9"/>
        <color rgb="FF000000"/>
        <rFont val="Arial"/>
        <family val="2"/>
        <charset val="1"/>
      </rPr>
      <t xml:space="preserve">As células em branco contém fórmulas e </t>
    </r>
    <r>
      <rPr>
        <b val="true"/>
        <sz val="9"/>
        <color rgb="FF000000"/>
        <rFont val="Arial"/>
        <family val="2"/>
        <charset val="1"/>
      </rPr>
      <t xml:space="preserve">não devem ser editadas</t>
    </r>
  </si>
  <si>
    <t xml:space="preserve">Funções de Dados (Arquivo/Tabela)</t>
  </si>
  <si>
    <t xml:space="preserve">Funções de Transacionais (caso de uso/história)</t>
  </si>
  <si>
    <t xml:space="preserve">Funções de Dados</t>
  </si>
  <si>
    <t xml:space="preserve">Fator de Ajuste</t>
  </si>
  <si>
    <t xml:space="preserve">Arquivos/Tabelas</t>
  </si>
  <si>
    <t xml:space="preserve">Complexidade</t>
  </si>
  <si>
    <t xml:space="preserve">Caso de Uso/História</t>
  </si>
  <si>
    <t xml:space="preserve">Tipo de Função</t>
  </si>
  <si>
    <t xml:space="preserve">Simples</t>
  </si>
  <si>
    <t xml:space="preserve">Complexa</t>
  </si>
  <si>
    <t xml:space="preserve">Contribuição</t>
  </si>
  <si>
    <t xml:space="preserve">Características do sistema</t>
  </si>
  <si>
    <t xml:space="preserve">GI</t>
  </si>
  <si>
    <t xml:space="preserve">Cliente</t>
  </si>
  <si>
    <t xml:space="preserve">Manter Cliente</t>
  </si>
  <si>
    <t xml:space="preserve">ALI</t>
  </si>
  <si>
    <t xml:space="preserve">Comunicação de Dados</t>
  </si>
  <si>
    <t xml:space="preserve">Endereço</t>
  </si>
  <si>
    <t xml:space="preserve">AIE</t>
  </si>
  <si>
    <t xml:space="preserve">Processamento de Dados Distribuído</t>
  </si>
  <si>
    <t xml:space="preserve">Funções Transacionais</t>
  </si>
  <si>
    <t xml:space="preserve">Desempenho</t>
  </si>
  <si>
    <t xml:space="preserve">Utilização de Equipamento</t>
  </si>
  <si>
    <t xml:space="preserve">EE</t>
  </si>
  <si>
    <t xml:space="preserve">Volume de Transações</t>
  </si>
  <si>
    <t xml:space="preserve">x</t>
  </si>
  <si>
    <t xml:space="preserve">SE</t>
  </si>
  <si>
    <t xml:space="preserve">Entrada de Dados On-line</t>
  </si>
  <si>
    <t xml:space="preserve">CE</t>
  </si>
  <si>
    <t xml:space="preserve">Usabilidade</t>
  </si>
  <si>
    <t xml:space="preserve">PFNA - Pontos de Função Não Ajustados:</t>
  </si>
  <si>
    <t xml:space="preserve">Atualização On-line</t>
  </si>
  <si>
    <t xml:space="preserve">Processamento Complexo</t>
  </si>
  <si>
    <t xml:space="preserve">Reusabilidade</t>
  </si>
  <si>
    <t xml:space="preserve">Facilidade de Implantação</t>
  </si>
  <si>
    <t xml:space="preserve">Facilidade Operacional</t>
  </si>
  <si>
    <t xml:space="preserve">Múltiplos Locais e Organizações do Usuário</t>
  </si>
  <si>
    <t xml:space="preserve">Manutenibilidade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</si>
  <si>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</si>
  <si>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</si>
  <si>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</si>
  <si>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</si>
  <si>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</si>
  <si>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</si>
  <si>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</si>
  <si>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 xml:space="preserve">DISCIPLINAS</t>
  </si>
  <si>
    <t xml:space="preserve">% de erro</t>
  </si>
  <si>
    <t xml:space="preserve">Totais/Disciplina</t>
  </si>
  <si>
    <t xml:space="preserve">Esforço total ajustado</t>
  </si>
  <si>
    <t xml:space="preserve">Qde de pessoas (Desenvolvedores)</t>
  </si>
  <si>
    <t xml:space="preserve">Requisitos</t>
  </si>
  <si>
    <r>
      <rPr>
        <sz val="11"/>
        <color rgb="FF000000"/>
        <rFont val="Calibri"/>
        <family val="2"/>
        <charset val="1"/>
      </rPr>
      <t xml:space="preserve">Jornada de trabalho </t>
    </r>
    <r>
      <rPr>
        <b val="true"/>
        <sz val="11"/>
        <color rgb="FF000000"/>
        <rFont val="Calibri"/>
        <family val="2"/>
        <charset val="1"/>
      </rPr>
      <t xml:space="preserve">(semanal</t>
    </r>
    <r>
      <rPr>
        <sz val="11"/>
        <color rgb="FF000000"/>
        <rFont val="Calibri"/>
        <family val="2"/>
        <charset val="1"/>
      </rPr>
      <t xml:space="preserve"> por desenvolvedor)</t>
    </r>
  </si>
  <si>
    <t xml:space="preserve">horas/semana</t>
  </si>
  <si>
    <t xml:space="preserve">Análise e Design</t>
  </si>
  <si>
    <t xml:space="preserve">Número de semanas por sprint</t>
  </si>
  <si>
    <t xml:space="preserve">Implementação</t>
  </si>
  <si>
    <t xml:space="preserve">Capacidade estimada do time/sprint</t>
  </si>
  <si>
    <t xml:space="preserve">Teste</t>
  </si>
  <si>
    <t xml:space="preserve">Qde de semanas estimada</t>
  </si>
  <si>
    <t xml:space="preserve">Implantação</t>
  </si>
  <si>
    <t xml:space="preserve">Qde de meses estimada</t>
  </si>
  <si>
    <t xml:space="preserve">Desenvolvimento</t>
  </si>
  <si>
    <t xml:space="preserve">Qde de Sprints sugerido</t>
  </si>
  <si>
    <t xml:space="preserve">Sprints</t>
  </si>
  <si>
    <t xml:space="preserve">Gerenciamento de Configuração</t>
  </si>
  <si>
    <t xml:space="preserve">Gerenciamento de Projeto</t>
  </si>
  <si>
    <t xml:space="preserve">Gerenciamento do Projeto</t>
  </si>
  <si>
    <t xml:space="preserve">Totais/Fase</t>
  </si>
  <si>
    <t xml:space="preserve">Custo total</t>
  </si>
  <si>
    <t xml:space="preserve">Preço final</t>
  </si>
</sst>
</file>

<file path=xl/styles.xml><?xml version="1.0" encoding="utf-8"?>
<styleSheet xmlns="http://schemas.openxmlformats.org/spreadsheetml/2006/main">
  <numFmts count="12">
    <numFmt numFmtId="164" formatCode="General"/>
    <numFmt numFmtId="165" formatCode="[$R$-416]\ #,##0.00;[RED]\-[$R$-416]\ #,##0.00"/>
    <numFmt numFmtId="166" formatCode="[$-416]General"/>
    <numFmt numFmtId="167" formatCode="General"/>
    <numFmt numFmtId="168" formatCode="[$-416]0%"/>
    <numFmt numFmtId="169" formatCode="[$-416]0"/>
    <numFmt numFmtId="170" formatCode="&quot; R$ &quot;#,##0.00\ ;&quot;-R$ &quot;#,##0.00\ ;&quot; R$ -&quot;#\ ;@\ "/>
    <numFmt numFmtId="171" formatCode="[$-416]d/m/yyyy"/>
    <numFmt numFmtId="172" formatCode="#,##0.00\ ;\-#,##0.00\ ;&quot; -&quot;#\ ;@\ "/>
    <numFmt numFmtId="173" formatCode="#,##0.0\ ;\-#,##0.0\ ;&quot; -&quot;#\ ;@\ "/>
    <numFmt numFmtId="174" formatCode="#,##0\ ;\-#,##0\ ;&quot; -&quot;#\ ;@\ "/>
    <numFmt numFmtId="175" formatCode="d/m/yy"/>
  </numFmts>
  <fonts count="45">
    <font>
      <sz val="11"/>
      <color rgb="FF000000"/>
      <name val="Arial"/>
      <family val="2"/>
      <charset val="1"/>
    </font>
    <font>
      <sz val="10"/>
      <name val="Arial"/>
      <family val="0"/>
    </font>
    <font>
      <sz val="10"/>
      <name val="Arial"/>
      <family val="0"/>
    </font>
    <font>
      <sz val="10"/>
      <name val="Arial"/>
      <family val="0"/>
    </font>
    <font>
      <sz val="11"/>
      <color rgb="FFFFFFFF"/>
      <name val="Arial"/>
      <family val="2"/>
      <charset val="1"/>
    </font>
    <font>
      <b val="true"/>
      <sz val="11"/>
      <color rgb="FF000000"/>
      <name val="Arial"/>
      <family val="2"/>
      <charset val="1"/>
    </font>
    <font>
      <sz val="11"/>
      <color rgb="FF666699"/>
      <name val="Arial"/>
      <family val="2"/>
      <charset val="1"/>
    </font>
    <font>
      <b val="true"/>
      <i val="true"/>
      <sz val="16"/>
      <color rgb="FF000000"/>
      <name val="Arial"/>
      <family val="2"/>
      <charset val="1"/>
    </font>
    <font>
      <b val="true"/>
      <i val="true"/>
      <u val="single"/>
      <sz val="11"/>
      <color rgb="FF000000"/>
      <name val="Arial"/>
      <family val="2"/>
      <charset val="1"/>
    </font>
    <font>
      <sz val="11"/>
      <color rgb="FF000000"/>
      <name val="Calibri"/>
      <family val="2"/>
      <charset val="1"/>
    </font>
    <font>
      <b val="true"/>
      <sz val="14"/>
      <color rgb="FFFFFFFF"/>
      <name val="Segoe UI"/>
      <family val="2"/>
      <charset val="1"/>
    </font>
    <font>
      <b val="true"/>
      <sz val="16"/>
      <color rgb="FF000000"/>
      <name val="Segoe UI"/>
      <family val="2"/>
      <charset val="1"/>
    </font>
    <font>
      <b val="true"/>
      <sz val="10"/>
      <color rgb="FFFFFFFF"/>
      <name val="Segoe UI"/>
      <family val="2"/>
      <charset val="1"/>
    </font>
    <font>
      <sz val="10"/>
      <color rgb="FF000000"/>
      <name val="Arial"/>
      <family val="2"/>
      <charset val="1"/>
    </font>
    <font>
      <sz val="10"/>
      <name val="Arial"/>
      <family val="2"/>
    </font>
    <font>
      <sz val="9"/>
      <color rgb="FF000000"/>
      <name val="Calibri"/>
      <family val="2"/>
      <charset val="1"/>
    </font>
    <font>
      <b val="true"/>
      <sz val="9"/>
      <color rgb="FFFFFFFF"/>
      <name val="Segoe UI"/>
      <family val="2"/>
      <charset val="1"/>
    </font>
    <font>
      <i val="true"/>
      <sz val="9"/>
      <color rgb="FF376092"/>
      <name val="Arial"/>
      <family val="2"/>
      <charset val="1"/>
    </font>
    <font>
      <b val="true"/>
      <sz val="9"/>
      <color rgb="FF000000"/>
      <name val="Arial"/>
      <family val="2"/>
      <charset val="1"/>
    </font>
    <font>
      <sz val="9"/>
      <color rgb="FF000000"/>
      <name val="Arial"/>
      <family val="2"/>
      <charset val="1"/>
    </font>
    <font>
      <b val="true"/>
      <sz val="10"/>
      <color rgb="FF000000"/>
      <name val="Arial"/>
      <family val="2"/>
      <charset val="1"/>
    </font>
    <font>
      <b val="true"/>
      <i val="true"/>
      <sz val="9"/>
      <color rgb="FF0000FF"/>
      <name val="Arial"/>
      <family val="2"/>
      <charset val="1"/>
    </font>
    <font>
      <i val="true"/>
      <sz val="9"/>
      <color rgb="FF0000FF"/>
      <name val="Arial"/>
      <family val="2"/>
      <charset val="1"/>
    </font>
    <font>
      <b val="true"/>
      <sz val="12"/>
      <color rgb="FF000000"/>
      <name val="Calibri"/>
      <family val="2"/>
      <charset val="1"/>
    </font>
    <font>
      <b val="true"/>
      <sz val="12"/>
      <color rgb="FFFFFFFF"/>
      <name val="Calibri"/>
      <family val="2"/>
      <charset val="1"/>
    </font>
    <font>
      <sz val="10"/>
      <color rgb="FF000000"/>
      <name val="Calibri"/>
      <family val="2"/>
      <charset val="1"/>
    </font>
    <font>
      <b val="true"/>
      <sz val="15"/>
      <color rgb="FF000000"/>
      <name val="Calibri"/>
      <family val="2"/>
      <charset val="1"/>
    </font>
    <font>
      <b val="true"/>
      <sz val="14"/>
      <color rgb="FF000000"/>
      <name val="Calibri"/>
      <family val="2"/>
      <charset val="1"/>
    </font>
    <font>
      <b val="true"/>
      <sz val="18"/>
      <color rgb="FFFFFFFF"/>
      <name val="Calibri"/>
      <family val="2"/>
      <charset val="1"/>
    </font>
    <font>
      <b val="true"/>
      <sz val="10"/>
      <color rgb="FFFFFFFF"/>
      <name val="Calibri"/>
      <family val="2"/>
      <charset val="1"/>
    </font>
    <font>
      <sz val="10"/>
      <name val="Calibri"/>
      <family val="2"/>
      <charset val="1"/>
    </font>
    <font>
      <b val="true"/>
      <sz val="10"/>
      <name val="Calibri"/>
      <family val="2"/>
      <charset val="1"/>
    </font>
    <font>
      <i val="true"/>
      <sz val="10"/>
      <color rgb="FF0000FF"/>
      <name val="Calibri"/>
      <family val="2"/>
      <charset val="1"/>
    </font>
    <font>
      <b val="true"/>
      <sz val="10"/>
      <color rgb="FF000000"/>
      <name val="Calibri"/>
      <family val="2"/>
      <charset val="1"/>
    </font>
    <font>
      <sz val="8"/>
      <color rgb="FF000000"/>
      <name val="Arial"/>
      <family val="2"/>
      <charset val="1"/>
    </font>
    <font>
      <b val="true"/>
      <sz val="8"/>
      <color rgb="FF000000"/>
      <name val="Arial"/>
      <family val="2"/>
      <charset val="1"/>
    </font>
    <font>
      <b val="true"/>
      <sz val="11"/>
      <color rgb="FFFFFFFF"/>
      <name val="Calibri"/>
      <family val="2"/>
      <charset val="1"/>
    </font>
    <font>
      <b val="true"/>
      <sz val="16"/>
      <color rgb="FFFFFFFF"/>
      <name val="Calibri"/>
      <family val="2"/>
      <charset val="1"/>
    </font>
    <font>
      <b val="true"/>
      <sz val="9"/>
      <color rgb="FF000000"/>
      <name val="Calibri"/>
      <family val="2"/>
      <charset val="1"/>
    </font>
    <font>
      <b val="true"/>
      <sz val="11"/>
      <color rgb="FF000000"/>
      <name val="Calibri"/>
      <family val="2"/>
      <charset val="1"/>
    </font>
    <font>
      <b val="true"/>
      <sz val="12"/>
      <color rgb="FFFFFFFF"/>
      <name val="Arial"/>
      <family val="2"/>
      <charset val="1"/>
    </font>
    <font>
      <b val="true"/>
      <sz val="18"/>
      <color rgb="FFFFFFFF"/>
      <name val="Calibri"/>
      <family val="1"/>
    </font>
    <font>
      <b val="true"/>
      <sz val="14"/>
      <color rgb="FFFFFFFF"/>
      <name val="Calibri"/>
      <family val="2"/>
      <charset val="1"/>
    </font>
    <font>
      <sz val="14"/>
      <color rgb="FF000000"/>
      <name val="Calibri"/>
      <family val="2"/>
      <charset val="1"/>
    </font>
    <font>
      <sz val="16"/>
      <color rgb="FFFFFFFF"/>
      <name val="Calibri"/>
      <family val="1"/>
    </font>
  </fonts>
  <fills count="17">
    <fill>
      <patternFill patternType="none"/>
    </fill>
    <fill>
      <patternFill patternType="gray125"/>
    </fill>
    <fill>
      <patternFill patternType="solid">
        <fgColor rgb="FFCCFFCC"/>
        <bgColor rgb="FFDBEEF4"/>
      </patternFill>
    </fill>
    <fill>
      <patternFill patternType="solid">
        <fgColor rgb="FFFFFF00"/>
        <bgColor rgb="FFFFFF00"/>
      </patternFill>
    </fill>
    <fill>
      <patternFill patternType="solid">
        <fgColor rgb="FFFF8080"/>
        <bgColor rgb="FFFF99CC"/>
      </patternFill>
    </fill>
    <fill>
      <patternFill patternType="solid">
        <fgColor rgb="FFC00000"/>
        <bgColor rgb="FFFF0000"/>
      </patternFill>
    </fill>
    <fill>
      <patternFill patternType="solid">
        <fgColor rgb="FF93CDDD"/>
        <bgColor rgb="FFB9CDE5"/>
      </patternFill>
    </fill>
    <fill>
      <patternFill patternType="solid">
        <fgColor rgb="FFFFC000"/>
        <bgColor rgb="FFFF9900"/>
      </patternFill>
    </fill>
    <fill>
      <patternFill patternType="solid">
        <fgColor rgb="FFB9CDE5"/>
        <bgColor rgb="FFC0C0C0"/>
      </patternFill>
    </fill>
    <fill>
      <patternFill patternType="solid">
        <fgColor rgb="FFFFFF99"/>
        <bgColor rgb="FFFFFFCC"/>
      </patternFill>
    </fill>
    <fill>
      <patternFill patternType="solid">
        <fgColor rgb="FFFF0000"/>
        <bgColor rgb="FFC00000"/>
      </patternFill>
    </fill>
    <fill>
      <patternFill patternType="solid">
        <fgColor rgb="FFDBEEF4"/>
        <bgColor rgb="FFDFDFDF"/>
      </patternFill>
    </fill>
    <fill>
      <patternFill patternType="solid">
        <fgColor rgb="FFFFFFFF"/>
        <bgColor rgb="FFFFFFCC"/>
      </patternFill>
    </fill>
    <fill>
      <patternFill patternType="solid">
        <fgColor rgb="FFC0C0C0"/>
        <bgColor rgb="FFB9CDE5"/>
      </patternFill>
    </fill>
    <fill>
      <patternFill patternType="solid">
        <fgColor rgb="FFFFFFCC"/>
        <bgColor rgb="FFFFFFFF"/>
      </patternFill>
    </fill>
    <fill>
      <patternFill patternType="solid">
        <fgColor rgb="FFDFDFDF"/>
        <bgColor rgb="FFDBEEF4"/>
      </patternFill>
    </fill>
    <fill>
      <patternFill patternType="solid">
        <fgColor rgb="FFB3A2C7"/>
        <bgColor rgb="FFC0C0C0"/>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style="thin"/>
      <bottom/>
      <diagonal/>
    </border>
    <border diagonalUp="false" diagonalDown="false">
      <left/>
      <right/>
      <top style="thin"/>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2" fontId="9"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0" fontId="9"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8" fontId="9"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center" vertical="bottom" textRotation="0" wrapText="false" indent="0" shrinkToFit="false"/>
    </xf>
    <xf numFmtId="164" fontId="7" fillId="0" borderId="0" applyFont="true" applyBorder="false" applyAlignment="true" applyProtection="false">
      <alignment horizontal="center" vertical="bottom" textRotation="90" wrapText="false" indent="0" shrinkToFit="false"/>
    </xf>
    <xf numFmtId="164" fontId="8" fillId="0" borderId="0" applyFont="true" applyBorder="false" applyAlignment="true" applyProtection="false">
      <alignment horizontal="general" vertical="bottom" textRotation="0" wrapText="false" indent="0" shrinkToFit="false"/>
    </xf>
    <xf numFmtId="165" fontId="8" fillId="0" borderId="0" applyFont="true" applyBorder="false" applyAlignment="true" applyProtection="false">
      <alignment horizontal="general" vertical="bottom" textRotation="0" wrapText="false" indent="0" shrinkToFit="false"/>
    </xf>
    <xf numFmtId="166" fontId="9" fillId="0" borderId="0" applyFont="true" applyBorder="false" applyAlignment="true" applyProtection="false">
      <alignment horizontal="general" vertical="bottom" textRotation="0" wrapText="false" indent="0" shrinkToFit="false"/>
    </xf>
  </cellStyleXfs>
  <cellXfs count="169">
    <xf numFmtId="164" fontId="0" fillId="0" borderId="0" xfId="0" applyFont="false" applyBorder="false" applyAlignment="false" applyProtection="false">
      <alignment horizontal="general" vertical="bottom" textRotation="0" wrapText="false" indent="0" shrinkToFit="false"/>
      <protection locked="true" hidden="false"/>
    </xf>
    <xf numFmtId="166" fontId="9" fillId="0" borderId="0" xfId="30" applyFont="true" applyBorder="true" applyAlignment="true" applyProtection="true">
      <alignment horizontal="general" vertical="bottom" textRotation="0" wrapText="false" indent="0" shrinkToFit="false"/>
      <protection locked="true" hidden="false"/>
    </xf>
    <xf numFmtId="166" fontId="10" fillId="5" borderId="1" xfId="30" applyFont="true" applyBorder="true" applyAlignment="true" applyProtection="true">
      <alignment horizontal="center" vertical="center" textRotation="0" wrapText="true" indent="0" shrinkToFit="false"/>
      <protection locked="true" hidden="false"/>
    </xf>
    <xf numFmtId="166" fontId="11" fillId="3" borderId="1" xfId="30" applyFont="true" applyBorder="true" applyAlignment="true" applyProtection="true">
      <alignment horizontal="center" vertical="center" textRotation="0" wrapText="true" indent="0" shrinkToFit="false"/>
      <protection locked="false" hidden="false"/>
    </xf>
    <xf numFmtId="166" fontId="12" fillId="5" borderId="1" xfId="30" applyFont="true" applyBorder="true" applyAlignment="true" applyProtection="true">
      <alignment horizontal="center" vertical="center" textRotation="0" wrapText="true" indent="0" shrinkToFit="false"/>
      <protection locked="true" hidden="false"/>
    </xf>
    <xf numFmtId="166" fontId="13" fillId="3" borderId="1" xfId="30" applyFont="true" applyBorder="true" applyAlignment="true" applyProtection="true">
      <alignment horizontal="general" vertical="bottom" textRotation="0" wrapText="false" indent="0" shrinkToFit="false"/>
      <protection locked="false" hidden="false"/>
    </xf>
    <xf numFmtId="166" fontId="15" fillId="0" borderId="0" xfId="30" applyFont="true" applyBorder="true" applyAlignment="true" applyProtection="true">
      <alignment horizontal="center" vertical="center" textRotation="0" wrapText="false" indent="0" shrinkToFit="false"/>
      <protection locked="true" hidden="false"/>
    </xf>
    <xf numFmtId="166" fontId="15" fillId="0" borderId="0" xfId="30" applyFont="true" applyBorder="true" applyAlignment="true" applyProtection="true">
      <alignment horizontal="general" vertical="bottom" textRotation="0" wrapText="false" indent="0" shrinkToFit="false"/>
      <protection locked="true" hidden="false"/>
    </xf>
    <xf numFmtId="166" fontId="9" fillId="0" borderId="0" xfId="30" applyFont="true" applyBorder="true" applyAlignment="true" applyProtection="true">
      <alignment horizontal="center" vertical="center" textRotation="0" wrapText="false" indent="0" shrinkToFit="false"/>
      <protection locked="true" hidden="false"/>
    </xf>
    <xf numFmtId="166" fontId="16" fillId="5" borderId="2" xfId="30" applyFont="true" applyBorder="true" applyAlignment="true" applyProtection="true">
      <alignment horizontal="center" vertical="center" textRotation="0" wrapText="true" indent="0" shrinkToFit="false"/>
      <protection locked="true" hidden="false"/>
    </xf>
    <xf numFmtId="166" fontId="16" fillId="5" borderId="3" xfId="30" applyFont="true" applyBorder="true" applyAlignment="true" applyProtection="true">
      <alignment horizontal="center" vertical="center" textRotation="0" wrapText="true" indent="0" shrinkToFit="false"/>
      <protection locked="true" hidden="false"/>
    </xf>
    <xf numFmtId="166" fontId="17" fillId="6" borderId="3" xfId="30" applyFont="true" applyBorder="true" applyAlignment="true" applyProtection="true">
      <alignment horizontal="center" vertical="center" textRotation="0" wrapText="true" indent="0" shrinkToFit="false"/>
      <protection locked="true" hidden="false"/>
    </xf>
    <xf numFmtId="166" fontId="17" fillId="6" borderId="4" xfId="30" applyFont="true" applyBorder="true" applyAlignment="true" applyProtection="true">
      <alignment horizontal="center" vertical="center" textRotation="0" wrapText="true" indent="0" shrinkToFit="false"/>
      <protection locked="true" hidden="false"/>
    </xf>
    <xf numFmtId="166" fontId="18" fillId="6" borderId="1" xfId="30" applyFont="true" applyBorder="true" applyAlignment="true" applyProtection="true">
      <alignment horizontal="center" vertical="center" textRotation="0" wrapText="true" indent="0" shrinkToFit="false"/>
      <protection locked="true" hidden="false"/>
    </xf>
    <xf numFmtId="166" fontId="18" fillId="6" borderId="1" xfId="30" applyFont="true" applyBorder="true" applyAlignment="true" applyProtection="true">
      <alignment horizontal="general" vertical="bottom" textRotation="0" wrapText="true" indent="0" shrinkToFit="false"/>
      <protection locked="true" hidden="false"/>
    </xf>
    <xf numFmtId="166" fontId="18" fillId="7" borderId="1" xfId="30" applyFont="true" applyBorder="true" applyAlignment="true" applyProtection="true">
      <alignment horizontal="center" vertical="center" textRotation="0" wrapText="true" indent="0" shrinkToFit="false"/>
      <protection locked="false" hidden="false"/>
    </xf>
    <xf numFmtId="166" fontId="18" fillId="7" borderId="1" xfId="30" applyFont="true" applyBorder="true" applyAlignment="true" applyProtection="true">
      <alignment horizontal="center" vertical="center" textRotation="0" wrapText="false" indent="0" shrinkToFit="false"/>
      <protection locked="false" hidden="false"/>
    </xf>
    <xf numFmtId="166" fontId="18" fillId="7" borderId="5" xfId="30" applyFont="true" applyBorder="true" applyAlignment="true" applyProtection="true">
      <alignment horizontal="center" vertical="center" textRotation="0" wrapText="true" indent="0" shrinkToFit="false"/>
      <protection locked="false" hidden="false"/>
    </xf>
    <xf numFmtId="166" fontId="18" fillId="7" borderId="6" xfId="30" applyFont="true" applyBorder="true" applyAlignment="true" applyProtection="true">
      <alignment horizontal="center" vertical="center" textRotation="0" wrapText="true" indent="0" shrinkToFit="false"/>
      <protection locked="false" hidden="false"/>
    </xf>
    <xf numFmtId="166" fontId="18" fillId="7" borderId="6" xfId="30" applyFont="true" applyBorder="true" applyAlignment="true" applyProtection="true">
      <alignment horizontal="general" vertical="center" textRotation="0" wrapText="true" indent="0" shrinkToFit="false"/>
      <protection locked="false" hidden="false"/>
    </xf>
    <xf numFmtId="166" fontId="19" fillId="3" borderId="1" xfId="30" applyFont="true" applyBorder="true" applyAlignment="true" applyProtection="true">
      <alignment horizontal="general" vertical="bottom" textRotation="0" wrapText="false" indent="0" shrinkToFit="false"/>
      <protection locked="false" hidden="false"/>
    </xf>
    <xf numFmtId="166" fontId="20" fillId="3" borderId="1" xfId="30" applyFont="true" applyBorder="true" applyAlignment="true" applyProtection="true">
      <alignment horizontal="center" vertical="center" textRotation="0" wrapText="false" indent="0" shrinkToFit="false"/>
      <protection locked="false" hidden="false"/>
    </xf>
    <xf numFmtId="166" fontId="18" fillId="3" borderId="6" xfId="30" applyFont="true" applyBorder="true" applyAlignment="true" applyProtection="true">
      <alignment horizontal="center" vertical="center" textRotation="0" wrapText="true" indent="0" shrinkToFit="false"/>
      <protection locked="false" hidden="false"/>
    </xf>
    <xf numFmtId="166" fontId="19" fillId="3" borderId="1" xfId="30" applyFont="true" applyBorder="true" applyAlignment="true" applyProtection="true">
      <alignment horizontal="center" vertical="center" textRotation="0" wrapText="false" indent="0" shrinkToFit="false"/>
      <protection locked="false" hidden="false"/>
    </xf>
    <xf numFmtId="167" fontId="20" fillId="8" borderId="1" xfId="30" applyFont="true" applyBorder="true" applyAlignment="true" applyProtection="true">
      <alignment horizontal="center" vertical="center" textRotation="0" wrapText="false" indent="0" shrinkToFit="false"/>
      <protection locked="false" hidden="false"/>
    </xf>
    <xf numFmtId="166" fontId="18" fillId="3" borderId="1" xfId="30" applyFont="true" applyBorder="true" applyAlignment="true" applyProtection="true">
      <alignment horizontal="center" vertical="center" textRotation="0" wrapText="true" indent="0" shrinkToFit="false"/>
      <protection locked="false" hidden="false"/>
    </xf>
    <xf numFmtId="166" fontId="19" fillId="3" borderId="1" xfId="30" applyFont="true" applyBorder="true" applyAlignment="true" applyProtection="true">
      <alignment horizontal="left" vertical="bottom" textRotation="0" wrapText="false" indent="0" shrinkToFit="false"/>
      <protection locked="false" hidden="false"/>
    </xf>
    <xf numFmtId="166" fontId="21" fillId="9" borderId="1" xfId="30" applyFont="true" applyBorder="true" applyAlignment="true" applyProtection="true">
      <alignment horizontal="left" vertical="bottom" textRotation="0" wrapText="false" indent="0" shrinkToFit="false"/>
      <protection locked="false" hidden="false"/>
    </xf>
    <xf numFmtId="166" fontId="22" fillId="9" borderId="1" xfId="30" applyFont="true" applyBorder="true" applyAlignment="true" applyProtection="true">
      <alignment horizontal="left" vertical="bottom" textRotation="0" wrapText="false" indent="0" shrinkToFit="false"/>
      <protection locked="false" hidden="false"/>
    </xf>
    <xf numFmtId="166" fontId="19" fillId="9" borderId="1" xfId="30" applyFont="true" applyBorder="true" applyAlignment="true" applyProtection="true">
      <alignment horizontal="left" vertical="bottom" textRotation="0" wrapText="false" indent="0" shrinkToFit="false"/>
      <protection locked="false" hidden="false"/>
    </xf>
    <xf numFmtId="166" fontId="18" fillId="7" borderId="1" xfId="30" applyFont="true" applyBorder="true" applyAlignment="true" applyProtection="true">
      <alignment horizontal="general" vertical="center" textRotation="0" wrapText="true" indent="0" shrinkToFit="false"/>
      <protection locked="fals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7" fontId="23" fillId="0" borderId="0" xfId="30" applyFont="true" applyBorder="true" applyAlignment="true" applyProtection="true">
      <alignment horizontal="center" vertical="center" textRotation="0" wrapText="false" indent="0" shrinkToFit="false"/>
      <protection locked="true" hidden="false"/>
    </xf>
    <xf numFmtId="166" fontId="9" fillId="0" borderId="0" xfId="30" applyFont="true" applyBorder="true" applyAlignment="true" applyProtection="true">
      <alignment horizontal="center" vertical="bottom" textRotation="0" wrapText="false" indent="0" shrinkToFit="false"/>
      <protection locked="true" hidden="false"/>
    </xf>
    <xf numFmtId="166" fontId="24" fillId="5" borderId="1" xfId="30" applyFont="true" applyBorder="true" applyAlignment="true" applyProtection="true">
      <alignment horizontal="center" vertical="bottom" textRotation="0" wrapText="false" indent="0" shrinkToFit="false"/>
      <protection locked="true" hidden="false"/>
    </xf>
    <xf numFmtId="166" fontId="24" fillId="5" borderId="7" xfId="30" applyFont="true" applyBorder="true" applyAlignment="true" applyProtection="true">
      <alignment horizontal="center" vertical="bottom" textRotation="0" wrapText="false" indent="0" shrinkToFit="false"/>
      <protection locked="true" hidden="false"/>
    </xf>
    <xf numFmtId="166" fontId="23" fillId="6" borderId="1" xfId="30" applyFont="true" applyBorder="true" applyAlignment="true" applyProtection="true">
      <alignment horizontal="general" vertical="bottom" textRotation="0" wrapText="false" indent="0" shrinkToFit="false"/>
      <protection locked="true" hidden="false"/>
    </xf>
    <xf numFmtId="167" fontId="23" fillId="6" borderId="1" xfId="30" applyFont="true" applyBorder="true" applyAlignment="true" applyProtection="true">
      <alignment horizontal="center" vertical="bottom" textRotation="0" wrapText="false" indent="0" shrinkToFit="false"/>
      <protection locked="true" hidden="false"/>
    </xf>
    <xf numFmtId="166" fontId="9" fillId="6" borderId="1" xfId="30" applyFont="true" applyBorder="true" applyAlignment="true" applyProtection="true">
      <alignment horizontal="left" vertical="bottom" textRotation="0" wrapText="false" indent="0" shrinkToFit="false"/>
      <protection locked="true" hidden="false"/>
    </xf>
    <xf numFmtId="168" fontId="25" fillId="3" borderId="1" xfId="30" applyFont="true" applyBorder="true" applyAlignment="true" applyProtection="true">
      <alignment horizontal="center" vertical="bottom" textRotation="0" wrapText="false" indent="0" shrinkToFit="false"/>
      <protection locked="false" hidden="false"/>
    </xf>
    <xf numFmtId="166" fontId="9" fillId="6" borderId="1" xfId="30" applyFont="true" applyBorder="true" applyAlignment="true" applyProtection="true">
      <alignment horizontal="general" vertical="bottom" textRotation="0" wrapText="false" indent="0" shrinkToFit="false"/>
      <protection locked="true" hidden="false"/>
    </xf>
    <xf numFmtId="166" fontId="9" fillId="3" borderId="1" xfId="30" applyFont="true" applyBorder="true" applyAlignment="true" applyProtection="true">
      <alignment horizontal="center" vertical="bottom" textRotation="0" wrapText="false" indent="0" shrinkToFit="false"/>
      <protection locked="false" hidden="false"/>
    </xf>
    <xf numFmtId="169" fontId="9" fillId="6" borderId="1" xfId="30" applyFont="true" applyBorder="true" applyAlignment="true" applyProtection="true">
      <alignment horizontal="center" vertical="bottom" textRotation="0" wrapText="false" indent="0" shrinkToFit="false"/>
      <protection locked="true" hidden="false"/>
    </xf>
    <xf numFmtId="166" fontId="26" fillId="6" borderId="1" xfId="30" applyFont="true" applyBorder="true" applyAlignment="true" applyProtection="true">
      <alignment horizontal="general" vertical="bottom" textRotation="0" wrapText="false" indent="0" shrinkToFit="false"/>
      <protection locked="true" hidden="false"/>
    </xf>
    <xf numFmtId="169" fontId="26" fillId="6" borderId="1" xfId="30" applyFont="true" applyBorder="true" applyAlignment="true" applyProtection="true">
      <alignment horizontal="center" vertical="bottom" textRotation="0" wrapText="false" indent="0" shrinkToFit="false"/>
      <protection locked="true" hidden="false"/>
    </xf>
    <xf numFmtId="166" fontId="26" fillId="6" borderId="1" xfId="30" applyFont="true" applyBorder="true" applyAlignment="true" applyProtection="true">
      <alignment horizontal="left" vertical="bottom" textRotation="0" wrapText="false" indent="0" shrinkToFit="false"/>
      <protection locked="true" hidden="false"/>
    </xf>
    <xf numFmtId="169" fontId="23" fillId="6" borderId="1" xfId="30" applyFont="true" applyBorder="true" applyAlignment="true" applyProtection="true">
      <alignment horizontal="center" vertical="bottom" textRotation="0" wrapText="false" indent="0" shrinkToFit="false"/>
      <protection locked="true" hidden="false"/>
    </xf>
    <xf numFmtId="170" fontId="25" fillId="3" borderId="1" xfId="17" applyFont="true" applyBorder="true" applyAlignment="true" applyProtection="true">
      <alignment horizontal="center" vertical="bottom" textRotation="0" wrapText="false" indent="0" shrinkToFit="false"/>
      <protection locked="false" hidden="false"/>
    </xf>
    <xf numFmtId="166" fontId="25" fillId="6" borderId="1" xfId="30" applyFont="true" applyBorder="true" applyAlignment="true" applyProtection="true">
      <alignment horizontal="left" vertical="bottom" textRotation="0" wrapText="false" indent="0" shrinkToFit="false"/>
      <protection locked="true" hidden="false"/>
    </xf>
    <xf numFmtId="170" fontId="25" fillId="6" borderId="1" xfId="17" applyFont="true" applyBorder="true" applyAlignment="true" applyProtection="true">
      <alignment horizontal="center" vertical="bottom" textRotation="0" wrapText="false" indent="0" shrinkToFit="false"/>
      <protection locked="true" hidden="false"/>
    </xf>
    <xf numFmtId="170" fontId="25" fillId="6" borderId="1" xfId="30" applyFont="true" applyBorder="true" applyAlignment="true" applyProtection="true">
      <alignment horizontal="center" vertical="bottom" textRotation="0" wrapText="false" indent="0" shrinkToFit="false"/>
      <protection locked="true" hidden="false"/>
    </xf>
    <xf numFmtId="166" fontId="27" fillId="6" borderId="1" xfId="30" applyFont="true" applyBorder="true" applyAlignment="true" applyProtection="true">
      <alignment horizontal="general" vertical="bottom" textRotation="0" wrapText="false" indent="0" shrinkToFit="false"/>
      <protection locked="true" hidden="false"/>
    </xf>
    <xf numFmtId="170" fontId="27" fillId="6" borderId="1" xfId="30" applyFont="true" applyBorder="true" applyAlignment="true" applyProtection="true">
      <alignment horizontal="general" vertical="bottom" textRotation="0" wrapText="false" indent="0" shrinkToFit="false"/>
      <protection locked="true" hidden="false"/>
    </xf>
    <xf numFmtId="170" fontId="25" fillId="6" borderId="1" xfId="30" applyFont="true" applyBorder="true" applyAlignment="true" applyProtection="true">
      <alignment horizontal="general" vertical="bottom" textRotation="0" wrapText="false" indent="0" shrinkToFit="false"/>
      <protection locked="true" hidden="false"/>
    </xf>
    <xf numFmtId="166" fontId="15" fillId="0" borderId="0" xfId="30" applyFont="true" applyBorder="true" applyAlignment="true" applyProtection="true">
      <alignment horizontal="center" vertical="bottom" textRotation="0" wrapText="false" indent="0" shrinkToFit="false"/>
      <protection locked="true" hidden="false"/>
    </xf>
    <xf numFmtId="166" fontId="28" fillId="5" borderId="3" xfId="30" applyFont="true" applyBorder="true" applyAlignment="true" applyProtection="true">
      <alignment horizontal="center" vertical="bottom" textRotation="0" wrapText="false" indent="0" shrinkToFit="false"/>
      <protection locked="true" hidden="false"/>
    </xf>
    <xf numFmtId="166" fontId="24" fillId="5" borderId="1" xfId="30" applyFont="true" applyBorder="true" applyAlignment="true" applyProtection="true">
      <alignment horizontal="left" vertical="bottom" textRotation="0" wrapText="false" indent="0" shrinkToFit="false"/>
      <protection locked="true" hidden="false"/>
    </xf>
    <xf numFmtId="167" fontId="24" fillId="5" borderId="1" xfId="30" applyFont="true" applyBorder="true" applyAlignment="true" applyProtection="true">
      <alignment horizontal="left" vertical="bottom" textRotation="0" wrapText="false" indent="0" shrinkToFit="false"/>
      <protection locked="true" hidden="false"/>
    </xf>
    <xf numFmtId="169" fontId="24" fillId="5" borderId="1" xfId="30" applyFont="true" applyBorder="true" applyAlignment="true" applyProtection="true">
      <alignment horizontal="center" vertical="bottom" textRotation="0" wrapText="false" indent="0" shrinkToFit="false"/>
      <protection locked="true" hidden="false"/>
    </xf>
    <xf numFmtId="166" fontId="29" fillId="10" borderId="3" xfId="30" applyFont="true" applyBorder="true" applyAlignment="true" applyProtection="true">
      <alignment horizontal="left" vertical="bottom" textRotation="0" wrapText="false" indent="0" shrinkToFit="false"/>
      <protection locked="true" hidden="false"/>
    </xf>
    <xf numFmtId="169" fontId="29" fillId="10" borderId="7" xfId="30" applyFont="true" applyBorder="true" applyAlignment="true" applyProtection="true">
      <alignment horizontal="center" vertical="bottom" textRotation="0" wrapText="false" indent="0" shrinkToFit="false"/>
      <protection locked="true" hidden="false"/>
    </xf>
    <xf numFmtId="169" fontId="29" fillId="10" borderId="1" xfId="30" applyFont="true" applyBorder="true" applyAlignment="true" applyProtection="true">
      <alignment horizontal="center" vertical="bottom" textRotation="0" wrapText="false" indent="0" shrinkToFit="false"/>
      <protection locked="true" hidden="false"/>
    </xf>
    <xf numFmtId="166" fontId="29" fillId="10" borderId="7" xfId="30" applyFont="true" applyBorder="true" applyAlignment="true" applyProtection="true">
      <alignment horizontal="left" vertical="bottom" textRotation="0" wrapText="false" indent="0" shrinkToFit="false"/>
      <protection locked="true" hidden="false"/>
    </xf>
    <xf numFmtId="166" fontId="29" fillId="10" borderId="1" xfId="30" applyFont="true" applyBorder="true" applyAlignment="true" applyProtection="true">
      <alignment horizontal="center" vertical="bottom" textRotation="0" wrapText="false" indent="0" shrinkToFit="false"/>
      <protection locked="true" hidden="false"/>
    </xf>
    <xf numFmtId="166" fontId="29" fillId="10" borderId="7" xfId="30" applyFont="true" applyBorder="true" applyAlignment="true" applyProtection="true">
      <alignment horizontal="center" vertical="center" textRotation="0" wrapText="false" indent="0" shrinkToFit="false"/>
      <protection locked="true" hidden="false"/>
    </xf>
    <xf numFmtId="166" fontId="29" fillId="10" borderId="7" xfId="30" applyFont="true" applyBorder="true" applyAlignment="true" applyProtection="true">
      <alignment horizontal="center" vertical="bottom" textRotation="0" wrapText="false" indent="0" shrinkToFit="false"/>
      <protection locked="true" hidden="false"/>
    </xf>
    <xf numFmtId="166" fontId="29" fillId="10" borderId="1" xfId="30" applyFont="true" applyBorder="true" applyAlignment="true" applyProtection="true">
      <alignment horizontal="center" vertical="center" textRotation="0" wrapText="false" indent="0" shrinkToFit="false"/>
      <protection locked="true" hidden="false"/>
    </xf>
    <xf numFmtId="166" fontId="25" fillId="6" borderId="1" xfId="30" applyFont="true" applyBorder="true" applyAlignment="true" applyProtection="true">
      <alignment horizontal="center" vertical="bottom" textRotation="0" wrapText="false" indent="0" shrinkToFit="false"/>
      <protection locked="false" hidden="false"/>
    </xf>
    <xf numFmtId="166" fontId="30" fillId="3" borderId="1" xfId="30" applyFont="true" applyBorder="true" applyAlignment="true" applyProtection="true">
      <alignment horizontal="left" vertical="bottom" textRotation="0" wrapText="true" indent="0" shrinkToFit="false"/>
      <protection locked="false" hidden="false"/>
    </xf>
    <xf numFmtId="171" fontId="30" fillId="9" borderId="1" xfId="30" applyFont="true" applyBorder="true" applyAlignment="true" applyProtection="true">
      <alignment horizontal="center" vertical="bottom" textRotation="0" wrapText="false" indent="0" shrinkToFit="false"/>
      <protection locked="false" hidden="false"/>
    </xf>
    <xf numFmtId="173" fontId="30" fillId="9" borderId="6" xfId="15" applyFont="true" applyBorder="true" applyAlignment="true" applyProtection="true">
      <alignment horizontal="center" vertical="center" textRotation="0" wrapText="false" indent="0" shrinkToFit="false"/>
      <protection locked="false" hidden="false"/>
    </xf>
    <xf numFmtId="166" fontId="31" fillId="3" borderId="1" xfId="30" applyFont="true" applyBorder="true" applyAlignment="true" applyProtection="true">
      <alignment horizontal="general" vertical="bottom" textRotation="0" wrapText="false" indent="0" shrinkToFit="false"/>
      <protection locked="false" hidden="false"/>
    </xf>
    <xf numFmtId="173" fontId="32" fillId="9" borderId="1" xfId="15" applyFont="true" applyBorder="true" applyAlignment="true" applyProtection="true">
      <alignment horizontal="center" vertical="center" textRotation="0" wrapText="false" indent="0" shrinkToFit="false"/>
      <protection locked="false" hidden="false"/>
    </xf>
    <xf numFmtId="173" fontId="32" fillId="11" borderId="1" xfId="15" applyFont="true" applyBorder="true" applyAlignment="true" applyProtection="true">
      <alignment horizontal="center" vertical="center" textRotation="0" wrapText="false" indent="0" shrinkToFit="false"/>
      <protection locked="false" hidden="false"/>
    </xf>
    <xf numFmtId="166" fontId="32" fillId="3" borderId="1" xfId="30" applyFont="true" applyBorder="true" applyAlignment="true" applyProtection="true">
      <alignment horizontal="center" vertical="bottom" textRotation="0" wrapText="false" indent="0" shrinkToFit="false"/>
      <protection locked="false" hidden="false"/>
    </xf>
    <xf numFmtId="166" fontId="30" fillId="3" borderId="1" xfId="30" applyFont="true" applyBorder="true" applyAlignment="true" applyProtection="true">
      <alignment horizontal="left" vertical="bottom" textRotation="0" wrapText="false" indent="0" shrinkToFit="false"/>
      <protection locked="false" hidden="false"/>
    </xf>
    <xf numFmtId="171" fontId="30" fillId="9" borderId="4" xfId="30" applyFont="true" applyBorder="true" applyAlignment="true" applyProtection="true">
      <alignment horizontal="center" vertical="bottom" textRotation="0" wrapText="false" indent="0" shrinkToFit="false"/>
      <protection locked="false" hidden="false"/>
    </xf>
    <xf numFmtId="174" fontId="30" fillId="9" borderId="1" xfId="15" applyFont="true" applyBorder="true" applyAlignment="true" applyProtection="true">
      <alignment horizontal="center" vertical="center" textRotation="0" wrapText="false" indent="0" shrinkToFit="false"/>
      <protection locked="false" hidden="false"/>
    </xf>
    <xf numFmtId="166" fontId="31" fillId="3" borderId="8" xfId="30" applyFont="true" applyBorder="true" applyAlignment="true" applyProtection="true">
      <alignment horizontal="general" vertical="bottom" textRotation="0" wrapText="false" indent="0" shrinkToFit="false"/>
      <protection locked="false" hidden="false"/>
    </xf>
    <xf numFmtId="171" fontId="32" fillId="9" borderId="1" xfId="30" applyFont="true" applyBorder="true" applyAlignment="true" applyProtection="true">
      <alignment horizontal="center" vertical="bottom" textRotation="0" wrapText="false" indent="0" shrinkToFit="false"/>
      <protection locked="false" hidden="false"/>
    </xf>
    <xf numFmtId="174" fontId="32" fillId="9" borderId="1" xfId="15" applyFont="true" applyBorder="true" applyAlignment="true" applyProtection="true">
      <alignment horizontal="center" vertical="center" textRotation="0" wrapText="false" indent="0" shrinkToFit="false"/>
      <protection locked="false" hidden="false"/>
    </xf>
    <xf numFmtId="174" fontId="32" fillId="11" borderId="1" xfId="15" applyFont="true" applyBorder="true" applyAlignment="true" applyProtection="true">
      <alignment horizontal="center" vertical="center" textRotation="0" wrapText="false" indent="0" shrinkToFit="false"/>
      <protection locked="false" hidden="false"/>
    </xf>
    <xf numFmtId="166" fontId="25" fillId="3" borderId="1" xfId="30" applyFont="true" applyBorder="true" applyAlignment="true" applyProtection="true">
      <alignment horizontal="left" vertical="bottom" textRotation="0" wrapText="true" indent="0" shrinkToFit="false"/>
      <protection locked="false" hidden="false"/>
    </xf>
    <xf numFmtId="171" fontId="25" fillId="9" borderId="1" xfId="30" applyFont="true" applyBorder="true" applyAlignment="true" applyProtection="true">
      <alignment horizontal="center" vertical="bottom" textRotation="0" wrapText="false" indent="0" shrinkToFit="false"/>
      <protection locked="false" hidden="false"/>
    </xf>
    <xf numFmtId="171" fontId="25" fillId="9" borderId="4" xfId="30" applyFont="true" applyBorder="true" applyAlignment="true" applyProtection="true">
      <alignment horizontal="center" vertical="bottom" textRotation="0" wrapText="false" indent="0" shrinkToFit="false"/>
      <protection locked="false" hidden="false"/>
    </xf>
    <xf numFmtId="174" fontId="25" fillId="9" borderId="1" xfId="15" applyFont="true" applyBorder="true" applyAlignment="true" applyProtection="true">
      <alignment horizontal="center" vertical="center" textRotation="0" wrapText="false" indent="0" shrinkToFit="false"/>
      <protection locked="false" hidden="false"/>
    </xf>
    <xf numFmtId="174" fontId="25" fillId="11" borderId="1" xfId="15" applyFont="true" applyBorder="true" applyAlignment="true" applyProtection="true">
      <alignment horizontal="center" vertical="center" textRotation="0" wrapText="false" indent="0" shrinkToFit="false"/>
      <protection locked="false" hidden="false"/>
    </xf>
    <xf numFmtId="166" fontId="25" fillId="3" borderId="1" xfId="30" applyFont="true" applyBorder="true" applyAlignment="true" applyProtection="true">
      <alignment horizontal="center" vertical="bottom" textRotation="0" wrapText="false" indent="0" shrinkToFit="false"/>
      <protection locked="false" hidden="false"/>
    </xf>
    <xf numFmtId="174" fontId="25" fillId="9" borderId="9" xfId="15" applyFont="true" applyBorder="true" applyAlignment="true" applyProtection="true">
      <alignment horizontal="center" vertical="center" textRotation="0" wrapText="false" indent="0" shrinkToFit="false"/>
      <protection locked="false" hidden="false"/>
    </xf>
    <xf numFmtId="166" fontId="33" fillId="3" borderId="1" xfId="30" applyFont="true" applyBorder="true" applyAlignment="true" applyProtection="true">
      <alignment horizontal="general" vertical="bottom" textRotation="0" wrapText="false" indent="0" shrinkToFit="false"/>
      <protection locked="false" hidden="false"/>
    </xf>
    <xf numFmtId="166" fontId="25" fillId="0" borderId="10" xfId="30" applyFont="true" applyBorder="true" applyAlignment="true" applyProtection="true">
      <alignment horizontal="left" vertical="bottom" textRotation="0" wrapText="false" indent="0" shrinkToFit="false"/>
      <protection locked="true" hidden="false"/>
    </xf>
    <xf numFmtId="166" fontId="25" fillId="0" borderId="10" xfId="30" applyFont="true" applyBorder="true" applyAlignment="true" applyProtection="true">
      <alignment horizontal="general" vertical="bottom" textRotation="0" wrapText="false" indent="0" shrinkToFit="false"/>
      <protection locked="true" hidden="false"/>
    </xf>
    <xf numFmtId="166" fontId="20" fillId="0" borderId="10" xfId="30" applyFont="true" applyBorder="true" applyAlignment="true" applyProtection="true">
      <alignment horizontal="left" vertical="bottom" textRotation="0" wrapText="false" indent="0" shrinkToFit="false"/>
      <protection locked="true" hidden="false"/>
    </xf>
    <xf numFmtId="173" fontId="25" fillId="0" borderId="10" xfId="30" applyFont="true" applyBorder="true" applyAlignment="true" applyProtection="true">
      <alignment horizontal="general" vertical="bottom" textRotation="0" wrapText="false" indent="0" shrinkToFit="false"/>
      <protection locked="true" hidden="false"/>
    </xf>
    <xf numFmtId="166" fontId="25" fillId="0" borderId="0" xfId="30" applyFont="true" applyBorder="true" applyAlignment="true" applyProtection="true">
      <alignment horizontal="general" vertical="bottom" textRotation="0" wrapText="false" indent="0" shrinkToFit="false"/>
      <protection locked="true" hidden="false"/>
    </xf>
    <xf numFmtId="173" fontId="25" fillId="0" borderId="10" xfId="30" applyFont="true" applyBorder="true" applyAlignment="true" applyProtection="true">
      <alignment horizontal="center" vertical="center" textRotation="0" wrapText="false" indent="0" shrinkToFit="false"/>
      <protection locked="true" hidden="false"/>
    </xf>
    <xf numFmtId="166" fontId="34" fillId="12" borderId="0" xfId="30" applyFont="true" applyBorder="true" applyAlignment="true" applyProtection="true">
      <alignment horizontal="general" vertical="bottom" textRotation="0" wrapText="true" indent="0" shrinkToFit="false"/>
      <protection locked="true" hidden="false"/>
    </xf>
    <xf numFmtId="166" fontId="9" fillId="12" borderId="0" xfId="30" applyFont="true" applyBorder="true" applyAlignment="true" applyProtection="true">
      <alignment horizontal="general" vertical="bottom" textRotation="0" wrapText="true" indent="0" shrinkToFit="false"/>
      <protection locked="true" hidden="false"/>
    </xf>
    <xf numFmtId="166" fontId="35" fillId="13" borderId="1" xfId="30" applyFont="true" applyBorder="true" applyAlignment="true" applyProtection="true">
      <alignment horizontal="general" vertical="bottom" textRotation="0" wrapText="true" indent="0" shrinkToFit="false"/>
      <protection locked="true" hidden="false"/>
    </xf>
    <xf numFmtId="166" fontId="34" fillId="12" borderId="1" xfId="30" applyFont="true" applyBorder="true" applyAlignment="true" applyProtection="true">
      <alignment horizontal="general" vertical="bottom" textRotation="0" wrapText="true" indent="0" shrinkToFit="false"/>
      <protection locked="true" hidden="false"/>
    </xf>
    <xf numFmtId="166" fontId="34" fillId="12" borderId="0" xfId="30" applyFont="true" applyBorder="true" applyAlignment="true" applyProtection="true">
      <alignment horizontal="left" vertical="bottom" textRotation="0" wrapText="true" indent="0" shrinkToFit="false"/>
      <protection locked="true" hidden="false"/>
    </xf>
    <xf numFmtId="166" fontId="34" fillId="12" borderId="1" xfId="30" applyFont="true" applyBorder="true" applyAlignment="true" applyProtection="true">
      <alignment horizontal="left" vertical="bottom" textRotation="0" wrapText="true" indent="0" shrinkToFit="false"/>
      <protection locked="true" hidden="false"/>
    </xf>
    <xf numFmtId="166" fontId="34" fillId="12" borderId="6" xfId="30" applyFont="true" applyBorder="true" applyAlignment="true" applyProtection="true">
      <alignment horizontal="general" vertical="bottom" textRotation="0" wrapText="true" indent="0" shrinkToFit="false"/>
      <protection locked="true" hidden="false"/>
    </xf>
    <xf numFmtId="166" fontId="35" fillId="13" borderId="1" xfId="30" applyFont="true" applyBorder="true" applyAlignment="true" applyProtection="true">
      <alignment horizontal="center" vertical="bottom" textRotation="0" wrapText="true" indent="0" shrinkToFit="false"/>
      <protection locked="true" hidden="false"/>
    </xf>
    <xf numFmtId="166" fontId="35" fillId="10" borderId="1" xfId="30" applyFont="true" applyBorder="true" applyAlignment="true" applyProtection="true">
      <alignment horizontal="center" vertical="bottom" textRotation="0" wrapText="true" indent="0" shrinkToFit="false"/>
      <protection locked="true" hidden="false"/>
    </xf>
    <xf numFmtId="166" fontId="34" fillId="3" borderId="1" xfId="30" applyFont="true" applyBorder="true" applyAlignment="true" applyProtection="true">
      <alignment horizontal="center" vertical="bottom" textRotation="0" wrapText="true" indent="0" shrinkToFit="false"/>
      <protection locked="true" hidden="false"/>
    </xf>
    <xf numFmtId="166" fontId="34" fillId="14" borderId="1" xfId="30" applyFont="true" applyBorder="true" applyAlignment="true" applyProtection="true">
      <alignment horizontal="center" vertical="bottom" textRotation="0" wrapText="true" indent="0" shrinkToFit="false"/>
      <protection locked="true" hidden="false"/>
    </xf>
    <xf numFmtId="166" fontId="34" fillId="12" borderId="1" xfId="30" applyFont="true" applyBorder="true" applyAlignment="true" applyProtection="true">
      <alignment horizontal="center" vertical="bottom" textRotation="0" wrapText="true" indent="0" shrinkToFit="false"/>
      <protection locked="true" hidden="false"/>
    </xf>
    <xf numFmtId="166" fontId="36" fillId="5" borderId="3" xfId="30" applyFont="true" applyBorder="true" applyAlignment="true" applyProtection="true">
      <alignment horizontal="center" vertical="bottom" textRotation="0" wrapText="false" indent="0" shrinkToFit="false"/>
      <protection locked="true" hidden="false"/>
    </xf>
    <xf numFmtId="166" fontId="35" fillId="13" borderId="6" xfId="30" applyFont="true" applyBorder="true" applyAlignment="true" applyProtection="true">
      <alignment horizontal="general" vertical="center" textRotation="0" wrapText="true" indent="0" shrinkToFit="false"/>
      <protection locked="true" hidden="false"/>
    </xf>
    <xf numFmtId="166" fontId="35" fillId="13" borderId="8" xfId="30" applyFont="true" applyBorder="true" applyAlignment="true" applyProtection="true">
      <alignment horizontal="center" vertical="center" textRotation="0" wrapText="true" indent="0" shrinkToFit="false"/>
      <protection locked="true" hidden="false"/>
    </xf>
    <xf numFmtId="166" fontId="35" fillId="13" borderId="1" xfId="30" applyFont="true" applyBorder="true" applyAlignment="true" applyProtection="true">
      <alignment horizontal="center" vertical="center" textRotation="0" wrapText="true" indent="0" shrinkToFit="false"/>
      <protection locked="true" hidden="false"/>
    </xf>
    <xf numFmtId="166" fontId="35" fillId="12" borderId="0" xfId="30" applyFont="true" applyBorder="true" applyAlignment="true" applyProtection="true">
      <alignment horizontal="center" vertical="center" textRotation="0" wrapText="tru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6" fontId="35" fillId="15" borderId="1" xfId="30" applyFont="true" applyBorder="true" applyAlignment="true" applyProtection="true">
      <alignment horizontal="center" vertical="center" textRotation="0" wrapText="true" indent="0" shrinkToFit="false"/>
      <protection locked="true" hidden="false"/>
    </xf>
    <xf numFmtId="166" fontId="35" fillId="15" borderId="4" xfId="30" applyFont="true" applyBorder="true" applyAlignment="true" applyProtection="true">
      <alignment horizontal="center" vertical="center" textRotation="0" wrapText="true" indent="0" shrinkToFit="false"/>
      <protection locked="true" hidden="false"/>
    </xf>
    <xf numFmtId="166" fontId="34" fillId="12" borderId="0" xfId="30" applyFont="true" applyBorder="true" applyAlignment="true" applyProtection="true">
      <alignment horizontal="general" vertical="top" textRotation="0" wrapText="true" indent="0" shrinkToFit="false"/>
      <protection locked="true" hidden="false"/>
    </xf>
    <xf numFmtId="169" fontId="34" fillId="3" borderId="1" xfId="30" applyFont="true" applyBorder="true" applyAlignment="true" applyProtection="true">
      <alignment horizontal="center" vertical="center" textRotation="0" wrapText="true" indent="0" shrinkToFit="false"/>
      <protection locked="true" hidden="false"/>
    </xf>
    <xf numFmtId="169" fontId="34" fillId="3" borderId="1" xfId="30" applyFont="true" applyBorder="true" applyAlignment="true" applyProtection="true">
      <alignment horizontal="left" vertical="center" textRotation="0" wrapText="true" indent="0" shrinkToFit="false"/>
      <protection locked="true" hidden="false"/>
    </xf>
    <xf numFmtId="175" fontId="34" fillId="14" borderId="1" xfId="30" applyFont="true" applyBorder="true" applyAlignment="true" applyProtection="true">
      <alignment horizontal="center" vertical="center" textRotation="0" wrapText="true" indent="0" shrinkToFit="false"/>
      <protection locked="true" hidden="false"/>
    </xf>
    <xf numFmtId="166" fontId="34" fillId="14" borderId="1" xfId="30" applyFont="true" applyBorder="true" applyAlignment="true" applyProtection="true">
      <alignment horizontal="center" vertical="center" textRotation="0" wrapText="true" indent="0" shrinkToFit="false"/>
      <protection locked="true" hidden="false"/>
    </xf>
    <xf numFmtId="167" fontId="35" fillId="12" borderId="1" xfId="30" applyFont="true" applyBorder="true" applyAlignment="true" applyProtection="true">
      <alignment horizontal="center" vertical="center" textRotation="0" wrapText="tru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6" fontId="34" fillId="14" borderId="1" xfId="30" applyFont="true" applyBorder="true" applyAlignment="true" applyProtection="true">
      <alignment horizontal="general" vertical="top" textRotation="0" wrapText="true" indent="0" shrinkToFit="false"/>
      <protection locked="true" hidden="false"/>
    </xf>
    <xf numFmtId="166" fontId="34" fillId="14" borderId="4" xfId="30" applyFont="true" applyBorder="true" applyAlignment="true" applyProtection="true">
      <alignment horizontal="general" vertical="top" textRotation="0" wrapText="true" indent="0" shrinkToFit="false"/>
      <protection locked="true" hidden="false"/>
    </xf>
    <xf numFmtId="166" fontId="34" fillId="14" borderId="11" xfId="30" applyFont="true" applyBorder="true" applyAlignment="true" applyProtection="true">
      <alignment horizontal="general" vertical="top" textRotation="0" wrapText="true" indent="0" shrinkToFit="false"/>
      <protection locked="true" hidden="false"/>
    </xf>
    <xf numFmtId="166" fontId="37" fillId="5" borderId="1" xfId="30" applyFont="true" applyBorder="true" applyAlignment="true" applyProtection="true">
      <alignment horizontal="center" vertical="bottom" textRotation="0" wrapText="false" indent="0" shrinkToFit="false"/>
      <protection locked="true" hidden="false"/>
    </xf>
    <xf numFmtId="166" fontId="18" fillId="10" borderId="1" xfId="30" applyFont="true" applyBorder="true" applyAlignment="true" applyProtection="true">
      <alignment horizontal="center" vertical="bottom" textRotation="0" wrapText="true" indent="0" shrinkToFit="false"/>
      <protection locked="true" hidden="false"/>
    </xf>
    <xf numFmtId="166" fontId="15" fillId="12" borderId="0" xfId="30" applyFont="true" applyBorder="true" applyAlignment="true" applyProtection="true">
      <alignment horizontal="general" vertical="bottom" textRotation="0" wrapText="true" indent="0" shrinkToFit="false"/>
      <protection locked="true" hidden="false"/>
    </xf>
    <xf numFmtId="166" fontId="19" fillId="3" borderId="1" xfId="30" applyFont="true" applyBorder="true" applyAlignment="true" applyProtection="true">
      <alignment horizontal="center" vertical="bottom" textRotation="0" wrapText="true" indent="0" shrinkToFit="false"/>
      <protection locked="true" hidden="false"/>
    </xf>
    <xf numFmtId="166" fontId="19" fillId="14" borderId="1" xfId="30" applyFont="true" applyBorder="true" applyAlignment="true" applyProtection="true">
      <alignment horizontal="center" vertical="bottom" textRotation="0" wrapText="true" indent="0" shrinkToFit="false"/>
      <protection locked="true" hidden="false"/>
    </xf>
    <xf numFmtId="166" fontId="19" fillId="12" borderId="1" xfId="30" applyFont="true" applyBorder="true" applyAlignment="true" applyProtection="true">
      <alignment horizontal="center" vertical="bottom" textRotation="0" wrapText="true" indent="0" shrinkToFit="false"/>
      <protection locked="true" hidden="false"/>
    </xf>
    <xf numFmtId="166" fontId="18" fillId="13" borderId="1" xfId="30" applyFont="true" applyBorder="true" applyAlignment="true" applyProtection="true">
      <alignment horizontal="center" vertical="center" textRotation="0" wrapText="true" indent="0" shrinkToFit="false"/>
      <protection locked="true" hidden="false"/>
    </xf>
    <xf numFmtId="166" fontId="18" fillId="15" borderId="1" xfId="30" applyFont="true" applyBorder="true" applyAlignment="true" applyProtection="true">
      <alignment horizontal="general" vertical="center" textRotation="0" wrapText="true" indent="0" shrinkToFit="false"/>
      <protection locked="true" hidden="false"/>
    </xf>
    <xf numFmtId="166" fontId="18" fillId="15" borderId="1" xfId="30" applyFont="true" applyBorder="true" applyAlignment="true" applyProtection="true">
      <alignment horizontal="center" vertical="center" textRotation="0" wrapText="true" indent="0" shrinkToFit="false"/>
      <protection locked="true" hidden="false"/>
    </xf>
    <xf numFmtId="166" fontId="19" fillId="15" borderId="1" xfId="30" applyFont="true" applyBorder="true" applyAlignment="true" applyProtection="true">
      <alignment horizontal="general" vertical="center" textRotation="0" wrapText="true" indent="0" shrinkToFit="false"/>
      <protection locked="true" hidden="false"/>
    </xf>
    <xf numFmtId="166" fontId="19" fillId="14" borderId="1" xfId="30" applyFont="true" applyBorder="true" applyAlignment="true" applyProtection="true">
      <alignment horizontal="center" vertical="center" textRotation="0" wrapText="true" indent="0" shrinkToFit="false"/>
      <protection locked="true" hidden="false"/>
    </xf>
    <xf numFmtId="166" fontId="18" fillId="13" borderId="1" xfId="30" applyFont="true" applyBorder="true" applyAlignment="true" applyProtection="true">
      <alignment horizontal="right" vertical="center" textRotation="0" wrapText="true" indent="0" shrinkToFit="false"/>
      <protection locked="true" hidden="false"/>
    </xf>
    <xf numFmtId="167" fontId="38" fillId="0" borderId="1" xfId="30" applyFont="true" applyBorder="true" applyAlignment="true" applyProtection="true">
      <alignment horizontal="center" vertical="center" textRotation="0" wrapText="false" indent="0" shrinkToFit="false"/>
      <protection locked="true" hidden="false"/>
    </xf>
    <xf numFmtId="166" fontId="18" fillId="13" borderId="4" xfId="30" applyFont="true" applyBorder="true" applyAlignment="true" applyProtection="true">
      <alignment horizontal="right" vertical="center" textRotation="0" wrapText="true" indent="0" shrinkToFit="false"/>
      <protection locked="true" hidden="false"/>
    </xf>
    <xf numFmtId="167" fontId="18" fillId="12" borderId="1" xfId="30" applyFont="true" applyBorder="true" applyAlignment="true" applyProtection="true">
      <alignment horizontal="center" vertical="center" textRotation="0" wrapText="true" indent="0" shrinkToFit="false"/>
      <protection locked="true" hidden="false"/>
    </xf>
    <xf numFmtId="167" fontId="39" fillId="12" borderId="1" xfId="30" applyFont="true" applyBorder="true" applyAlignment="true" applyProtection="true">
      <alignment horizontal="center" vertical="center" textRotation="0" wrapText="false" indent="0" shrinkToFit="false"/>
      <protection locked="true" hidden="false"/>
    </xf>
    <xf numFmtId="166" fontId="9" fillId="3" borderId="1" xfId="30" applyFont="true" applyBorder="true" applyAlignment="true" applyProtection="true">
      <alignment horizontal="center" vertical="center" textRotation="0" wrapText="false" indent="0" shrinkToFit="false"/>
      <protection locked="true" hidden="false"/>
    </xf>
    <xf numFmtId="166" fontId="40" fillId="5" borderId="1" xfId="30" applyFont="true" applyBorder="true" applyAlignment="true" applyProtection="true">
      <alignment horizontal="right" vertical="center" textRotation="0" wrapText="true" indent="0" shrinkToFit="false"/>
      <protection locked="true" hidden="false"/>
    </xf>
    <xf numFmtId="169" fontId="37" fillId="5" borderId="1" xfId="30" applyFont="true" applyBorder="true" applyAlignment="true" applyProtection="true">
      <alignment horizontal="center" vertical="center" textRotation="0" wrapText="false" indent="0" shrinkToFit="false"/>
      <protection locked="true" hidden="false"/>
    </xf>
    <xf numFmtId="166" fontId="42" fillId="5" borderId="7" xfId="30" applyFont="true" applyBorder="true" applyAlignment="true" applyProtection="true">
      <alignment horizontal="center" vertical="bottom" textRotation="0" wrapText="false" indent="0" shrinkToFit="false"/>
      <protection locked="true" hidden="false"/>
    </xf>
    <xf numFmtId="166" fontId="39" fillId="6" borderId="1" xfId="30" applyFont="true" applyBorder="true" applyAlignment="true" applyProtection="true">
      <alignment horizontal="general" vertical="bottom" textRotation="0" wrapText="false" indent="0" shrinkToFit="false"/>
      <protection locked="true" hidden="false"/>
    </xf>
    <xf numFmtId="169" fontId="9" fillId="8" borderId="1" xfId="30" applyFont="true" applyBorder="true" applyAlignment="true" applyProtection="true">
      <alignment horizontal="center" vertical="bottom" textRotation="0" wrapText="false" indent="0" shrinkToFit="false"/>
      <protection locked="true" hidden="false"/>
    </xf>
    <xf numFmtId="166" fontId="33" fillId="6" borderId="1" xfId="30" applyFont="true" applyBorder="true" applyAlignment="true" applyProtection="true">
      <alignment horizontal="center" vertical="center" textRotation="0" wrapText="false" indent="0" shrinkToFit="false"/>
      <protection locked="true" hidden="false"/>
    </xf>
    <xf numFmtId="166" fontId="33" fillId="6" borderId="1" xfId="30" applyFont="true" applyBorder="true" applyAlignment="true" applyProtection="true">
      <alignment horizontal="center" vertical="bottom" textRotation="0" wrapText="false" indent="0" shrinkToFit="false"/>
      <protection locked="true" hidden="false"/>
    </xf>
    <xf numFmtId="166" fontId="33" fillId="6" borderId="1" xfId="30" applyFont="true" applyBorder="true" applyAlignment="true" applyProtection="true">
      <alignment horizontal="general" vertical="bottom" textRotation="0" wrapText="false" indent="0" shrinkToFit="false"/>
      <protection locked="true" hidden="false"/>
    </xf>
    <xf numFmtId="166" fontId="39" fillId="6" borderId="1" xfId="30" applyFont="true" applyBorder="true" applyAlignment="true" applyProtection="true">
      <alignment horizontal="left" vertical="bottom" textRotation="0" wrapText="false" indent="0" shrinkToFit="false"/>
      <protection locked="true" hidden="false"/>
    </xf>
    <xf numFmtId="169" fontId="33" fillId="6" borderId="1" xfId="30" applyFont="true" applyBorder="true" applyAlignment="true" applyProtection="true">
      <alignment horizontal="center" vertical="bottom" textRotation="0" wrapText="false" indent="0" shrinkToFit="false"/>
      <protection locked="true" hidden="false"/>
    </xf>
    <xf numFmtId="169" fontId="25" fillId="6" borderId="1" xfId="30" applyFont="true" applyBorder="true" applyAlignment="true" applyProtection="true">
      <alignment horizontal="center" vertical="bottom" textRotation="0" wrapText="false" indent="0" shrinkToFit="false"/>
      <protection locked="true" hidden="false"/>
    </xf>
    <xf numFmtId="168" fontId="25" fillId="3" borderId="1" xfId="19" applyFont="true" applyBorder="true" applyAlignment="true" applyProtection="true">
      <alignment horizontal="center" vertical="bottom" textRotation="0" wrapText="false" indent="0" shrinkToFit="false"/>
      <protection locked="false" hidden="false"/>
    </xf>
    <xf numFmtId="166" fontId="25" fillId="6" borderId="1" xfId="30" applyFont="true" applyBorder="true" applyAlignment="true" applyProtection="true">
      <alignment horizontal="general" vertical="bottom" textRotation="0" wrapText="false" indent="0" shrinkToFit="false"/>
      <protection locked="true" hidden="false"/>
    </xf>
    <xf numFmtId="169" fontId="23" fillId="0" borderId="1" xfId="30" applyFont="true" applyBorder="true" applyAlignment="true" applyProtection="true">
      <alignment horizontal="center" vertical="center" textRotation="0" wrapText="false" indent="0" shrinkToFit="false"/>
      <protection locked="true" hidden="false"/>
    </xf>
    <xf numFmtId="166" fontId="24" fillId="10" borderId="1" xfId="30" applyFont="true" applyBorder="true" applyAlignment="true" applyProtection="true">
      <alignment horizontal="general" vertical="bottom" textRotation="0" wrapText="false" indent="0" shrinkToFit="false"/>
      <protection locked="true" hidden="false"/>
    </xf>
    <xf numFmtId="167" fontId="24" fillId="10" borderId="1" xfId="30" applyFont="true" applyBorder="true" applyAlignment="true" applyProtection="true">
      <alignment horizontal="center" vertical="bottom" textRotation="0" wrapText="false" indent="0" shrinkToFit="false"/>
      <protection locked="true" hidden="false"/>
    </xf>
    <xf numFmtId="169" fontId="39" fillId="6" borderId="1" xfId="30" applyFont="true" applyBorder="true" applyAlignment="true" applyProtection="true">
      <alignment horizontal="center" vertical="bottom" textRotation="0" wrapText="false" indent="0" shrinkToFit="false"/>
      <protection locked="true" hidden="false"/>
    </xf>
    <xf numFmtId="166" fontId="33" fillId="16" borderId="1" xfId="30" applyFont="true" applyBorder="true" applyAlignment="true" applyProtection="true">
      <alignment horizontal="general" vertical="bottom" textRotation="0" wrapText="false" indent="0" shrinkToFit="false"/>
      <protection locked="true" hidden="false"/>
    </xf>
    <xf numFmtId="169" fontId="33" fillId="16" borderId="1" xfId="30" applyFont="true" applyBorder="true" applyAlignment="true" applyProtection="true">
      <alignment horizontal="center" vertical="bottom" textRotation="0" wrapText="false" indent="0" shrinkToFit="false"/>
      <protection locked="true" hidden="false"/>
    </xf>
    <xf numFmtId="168" fontId="33" fillId="16" borderId="1" xfId="19" applyFont="true" applyBorder="true" applyAlignment="true" applyProtection="true">
      <alignment horizontal="center" vertical="bottom" textRotation="0" wrapText="false" indent="0" shrinkToFit="false"/>
      <protection locked="true" hidden="false"/>
    </xf>
    <xf numFmtId="169" fontId="24" fillId="10" borderId="1" xfId="30" applyFont="true" applyBorder="true" applyAlignment="true" applyProtection="true">
      <alignment horizontal="center" vertical="bottom" textRotation="0" wrapText="false" indent="0" shrinkToFit="false"/>
      <protection locked="true" hidden="false"/>
    </xf>
    <xf numFmtId="169" fontId="27" fillId="12" borderId="1" xfId="30" applyFont="true" applyBorder="true" applyAlignment="true" applyProtection="true">
      <alignment horizontal="center" vertical="bottom" textRotation="0" wrapText="false" indent="0" shrinkToFit="false"/>
      <protection locked="true" hidden="false"/>
    </xf>
    <xf numFmtId="168" fontId="43" fillId="6" borderId="1" xfId="19" applyFont="true" applyBorder="true" applyAlignment="true" applyProtection="true">
      <alignment horizontal="center" vertical="bottom" textRotation="0" wrapText="false" indent="0" shrinkToFit="false"/>
      <protection locked="true" hidden="false"/>
    </xf>
    <xf numFmtId="169" fontId="27" fillId="0" borderId="1" xfId="30" applyFont="true" applyBorder="true" applyAlignment="true" applyProtection="true">
      <alignment horizontal="center" vertical="center" textRotation="0" wrapText="false" indent="0" shrinkToFit="false"/>
      <protection locked="true" hidden="false"/>
    </xf>
    <xf numFmtId="170" fontId="33" fillId="3" borderId="1" xfId="17" applyFont="true" applyBorder="true" applyAlignment="true" applyProtection="true">
      <alignment horizontal="center" vertical="bottom" textRotation="0" wrapText="false" indent="0" shrinkToFit="false"/>
      <protection locked="false" hidden="false"/>
    </xf>
    <xf numFmtId="170" fontId="23" fillId="6" borderId="1" xfId="30" applyFont="true" applyBorder="true" applyAlignment="true" applyProtection="true">
      <alignment horizontal="general" vertical="bottom"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f4" xfId="23"/>
    <cellStyle name="cf5" xfId="24"/>
    <cellStyle name="cf6" xfId="25"/>
    <cellStyle name="Heading 3" xfId="26"/>
    <cellStyle name="Heading 1" xfId="27"/>
    <cellStyle name="Result 4" xfId="28"/>
    <cellStyle name="Result2" xfId="29"/>
    <cellStyle name="Excel Built-in Normal" xfId="30"/>
  </cellStyles>
  <dxfs count="10">
    <dxf>
      <font>
        <color rgb="FF666699"/>
      </font>
    </dxf>
    <dxf>
      <font>
        <b val="1"/>
      </font>
    </dxf>
    <dxf>
      <font>
        <color rgb="FF666699"/>
      </font>
    </dxf>
    <dxf>
      <font>
        <b val="1"/>
      </font>
    </dxf>
    <dxf>
      <font>
        <color rgb="FFFFFFFF"/>
      </font>
    </dxf>
    <dxf>
      <font>
        <color rgb="FF666699"/>
      </font>
    </dxf>
    <dxf>
      <font>
        <b val="1"/>
      </font>
    </dxf>
    <dxf>
      <fill>
        <patternFill>
          <bgColor rgb="FFCCFFCC"/>
        </patternFill>
      </fill>
    </dxf>
    <dxf>
      <fill>
        <patternFill>
          <bgColor rgb="FFFFFF00"/>
        </patternFill>
      </fill>
    </dxf>
    <dxf>
      <fill>
        <patternFill>
          <bgColor rgb="FFFF808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FDFDF"/>
      <rgbColor rgb="FFCCFFCC"/>
      <rgbColor rgb="FFFFFF99"/>
      <rgbColor rgb="FF93CDDD"/>
      <rgbColor rgb="FFFF99CC"/>
      <rgbColor rgb="FFB3A2C7"/>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274680</xdr:colOff>
      <xdr:row>7</xdr:row>
      <xdr:rowOff>86040</xdr:rowOff>
    </xdr:from>
    <xdr:to>
      <xdr:col>6</xdr:col>
      <xdr:colOff>3670560</xdr:colOff>
      <xdr:row>12</xdr:row>
      <xdr:rowOff>181080</xdr:rowOff>
    </xdr:to>
    <xdr:pic>
      <xdr:nvPicPr>
        <xdr:cNvPr id="0" name="Imagem 2" descr=""/>
        <xdr:cNvPicPr/>
      </xdr:nvPicPr>
      <xdr:blipFill>
        <a:blip r:embed="rId1"/>
        <a:stretch/>
      </xdr:blipFill>
      <xdr:spPr>
        <a:xfrm>
          <a:off x="8312400" y="1953000"/>
          <a:ext cx="3725640" cy="1047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46080</xdr:colOff>
      <xdr:row>19</xdr:row>
      <xdr:rowOff>172080</xdr:rowOff>
    </xdr:from>
    <xdr:to>
      <xdr:col>3</xdr:col>
      <xdr:colOff>1353960</xdr:colOff>
      <xdr:row>23</xdr:row>
      <xdr:rowOff>119520</xdr:rowOff>
    </xdr:to>
    <xdr:pic>
      <xdr:nvPicPr>
        <xdr:cNvPr id="1" name="Imagem 3" descr=""/>
        <xdr:cNvPicPr/>
      </xdr:nvPicPr>
      <xdr:blipFill>
        <a:blip r:embed="rId1"/>
        <a:stretch/>
      </xdr:blipFill>
      <xdr:spPr>
        <a:xfrm>
          <a:off x="46080" y="3829680"/>
          <a:ext cx="3380400" cy="709560"/>
        </a:xfrm>
        <a:prstGeom prst="rect">
          <a:avLst/>
        </a:prstGeom>
        <a:ln w="0">
          <a:noFill/>
        </a:ln>
      </xdr:spPr>
    </xdr:pic>
    <xdr:clientData/>
  </xdr:twoCellAnchor>
  <xdr:twoCellAnchor editAs="oneCell">
    <xdr:from>
      <xdr:col>3</xdr:col>
      <xdr:colOff>1452600</xdr:colOff>
      <xdr:row>19</xdr:row>
      <xdr:rowOff>189000</xdr:rowOff>
    </xdr:from>
    <xdr:to>
      <xdr:col>9</xdr:col>
      <xdr:colOff>60120</xdr:colOff>
      <xdr:row>28</xdr:row>
      <xdr:rowOff>112320</xdr:rowOff>
    </xdr:to>
    <xdr:pic>
      <xdr:nvPicPr>
        <xdr:cNvPr id="2" name="Imagem 4" descr=""/>
        <xdr:cNvPicPr/>
      </xdr:nvPicPr>
      <xdr:blipFill>
        <a:blip r:embed="rId2"/>
        <a:stretch/>
      </xdr:blipFill>
      <xdr:spPr>
        <a:xfrm>
          <a:off x="3525120" y="3846600"/>
          <a:ext cx="3711240" cy="1697400"/>
        </a:xfrm>
        <a:prstGeom prst="rect">
          <a:avLst/>
        </a:prstGeom>
        <a:ln w="0">
          <a:noFill/>
        </a:ln>
      </xdr:spPr>
    </xdr:pic>
    <xdr:clientData/>
  </xdr:twoCellAnchor>
  <xdr:twoCellAnchor editAs="oneCell">
    <xdr:from>
      <xdr:col>0</xdr:col>
      <xdr:colOff>798480</xdr:colOff>
      <xdr:row>5</xdr:row>
      <xdr:rowOff>10080</xdr:rowOff>
    </xdr:from>
    <xdr:to>
      <xdr:col>1</xdr:col>
      <xdr:colOff>1800</xdr:colOff>
      <xdr:row>5</xdr:row>
      <xdr:rowOff>246240</xdr:rowOff>
    </xdr:to>
    <xdr:sp>
      <xdr:nvSpPr>
        <xdr:cNvPr id="3" name="Fluxograma: Conector 6"/>
        <xdr:cNvSpPr/>
      </xdr:nvSpPr>
      <xdr:spPr>
        <a:xfrm>
          <a:off x="798480" y="1019880"/>
          <a:ext cx="297360" cy="236160"/>
        </a:xfrm>
        <a:custGeom>
          <a:avLst/>
          <a:gdLst>
            <a:gd name="textAreaLeft" fmla="*/ 43560 w 297360"/>
            <a:gd name="textAreaRight" fmla="*/ 253800 w 297360"/>
            <a:gd name="textAreaTop" fmla="*/ 34560 h 236160"/>
            <a:gd name="textAreaBottom" fmla="*/ 201600 h 236160"/>
          </a:gdLst>
          <a:ahLst/>
          <a:rect l="textAreaLeft" t="textAreaTop" r="textAreaRight" b="textAreaBottom"/>
          <a:pathLst>
            <a:path w="21600" h="21600">
              <a:moveTo>
                <a:pt x="10800" y="0"/>
              </a:moveTo>
              <a:arcTo wR="10800" hR="10800" stAng="-5400000" swAng="-21600000"/>
              <a:close/>
            </a:path>
          </a:pathLst>
        </a:custGeom>
        <a:solidFill>
          <a:srgbClr val="c00000"/>
        </a:solidFill>
        <a:ln w="6483">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1</a:t>
          </a:r>
          <a:endParaRPr b="0" lang="en-US" sz="1800" spc="-1" strike="noStrike">
            <a:latin typeface="Times New Roman"/>
          </a:endParaRPr>
        </a:p>
      </xdr:txBody>
    </xdr:sp>
    <xdr:clientData/>
  </xdr:twoCellAnchor>
  <xdr:twoCellAnchor editAs="oneCell">
    <xdr:from>
      <xdr:col>3</xdr:col>
      <xdr:colOff>1322280</xdr:colOff>
      <xdr:row>5</xdr:row>
      <xdr:rowOff>10080</xdr:rowOff>
    </xdr:from>
    <xdr:to>
      <xdr:col>3</xdr:col>
      <xdr:colOff>1597680</xdr:colOff>
      <xdr:row>6</xdr:row>
      <xdr:rowOff>57240</xdr:rowOff>
    </xdr:to>
    <xdr:sp>
      <xdr:nvSpPr>
        <xdr:cNvPr id="4" name="Fluxograma: Conector 7"/>
        <xdr:cNvSpPr/>
      </xdr:nvSpPr>
      <xdr:spPr>
        <a:xfrm>
          <a:off x="3394800" y="1019880"/>
          <a:ext cx="275400" cy="304200"/>
        </a:xfrm>
        <a:custGeom>
          <a:avLst/>
          <a:gdLst>
            <a:gd name="textAreaLeft" fmla="*/ 40320 w 275400"/>
            <a:gd name="textAreaRight" fmla="*/ 235080 w 275400"/>
            <a:gd name="textAreaTop" fmla="*/ 44640 h 304200"/>
            <a:gd name="textAreaBottom" fmla="*/ 259560 h 304200"/>
          </a:gdLst>
          <a:ahLst/>
          <a:rect l="textAreaLeft" t="textAreaTop" r="textAreaRight" b="textAreaBottom"/>
          <a:pathLst>
            <a:path w="21600" h="21600">
              <a:moveTo>
                <a:pt x="10800" y="0"/>
              </a:moveTo>
              <a:arcTo wR="10800" hR="10800" stAng="-5400000" swAng="-21600000"/>
              <a:close/>
            </a:path>
          </a:pathLst>
        </a:custGeom>
        <a:solidFill>
          <a:srgbClr val="c00000"/>
        </a:solidFill>
        <a:ln w="6483">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2</a:t>
          </a:r>
          <a:endParaRPr b="0" lang="en-US" sz="1800" spc="-1" strike="noStrike">
            <a:latin typeface="Times New Roman"/>
          </a:endParaRPr>
        </a:p>
      </xdr:txBody>
    </xdr:sp>
    <xdr:clientData/>
  </xdr:twoCellAnchor>
  <xdr:twoCellAnchor editAs="oneCell">
    <xdr:from>
      <xdr:col>7</xdr:col>
      <xdr:colOff>503280</xdr:colOff>
      <xdr:row>5</xdr:row>
      <xdr:rowOff>10080</xdr:rowOff>
    </xdr:from>
    <xdr:to>
      <xdr:col>8</xdr:col>
      <xdr:colOff>275760</xdr:colOff>
      <xdr:row>6</xdr:row>
      <xdr:rowOff>57240</xdr:rowOff>
    </xdr:to>
    <xdr:sp>
      <xdr:nvSpPr>
        <xdr:cNvPr id="5" name="Fluxograma: Conector 8"/>
        <xdr:cNvSpPr/>
      </xdr:nvSpPr>
      <xdr:spPr>
        <a:xfrm>
          <a:off x="6711120" y="1019880"/>
          <a:ext cx="314640" cy="304200"/>
        </a:xfrm>
        <a:custGeom>
          <a:avLst/>
          <a:gdLst>
            <a:gd name="textAreaLeft" fmla="*/ 46080 w 314640"/>
            <a:gd name="textAreaRight" fmla="*/ 268560 w 314640"/>
            <a:gd name="textAreaTop" fmla="*/ 44640 h 304200"/>
            <a:gd name="textAreaBottom" fmla="*/ 259560 h 304200"/>
          </a:gdLst>
          <a:ahLst/>
          <a:rect l="textAreaLeft" t="textAreaTop" r="textAreaRight" b="textAreaBottom"/>
          <a:pathLst>
            <a:path w="21600" h="21600">
              <a:moveTo>
                <a:pt x="10800" y="0"/>
              </a:moveTo>
              <a:arcTo wR="10800" hR="10800" stAng="-5400000" swAng="-21600000"/>
              <a:close/>
            </a:path>
          </a:pathLst>
        </a:custGeom>
        <a:solidFill>
          <a:srgbClr val="c00000"/>
        </a:solidFill>
        <a:ln w="6483">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3</a:t>
          </a:r>
          <a:endParaRPr b="0" lang="en-US" sz="1800" spc="-1" strike="noStrike">
            <a:latin typeface="Times New Roman"/>
          </a:endParaRPr>
        </a:p>
      </xdr:txBody>
    </xdr:sp>
    <xdr:clientData/>
  </xdr:twoCellAnchor>
  <xdr:twoCellAnchor editAs="oneCell">
    <xdr:from>
      <xdr:col>12</xdr:col>
      <xdr:colOff>1017720</xdr:colOff>
      <xdr:row>5</xdr:row>
      <xdr:rowOff>360</xdr:rowOff>
    </xdr:from>
    <xdr:to>
      <xdr:col>12</xdr:col>
      <xdr:colOff>1312200</xdr:colOff>
      <xdr:row>6</xdr:row>
      <xdr:rowOff>47520</xdr:rowOff>
    </xdr:to>
    <xdr:sp>
      <xdr:nvSpPr>
        <xdr:cNvPr id="6" name="Fluxograma: Conector 9"/>
        <xdr:cNvSpPr/>
      </xdr:nvSpPr>
      <xdr:spPr>
        <a:xfrm>
          <a:off x="9772560" y="1010160"/>
          <a:ext cx="294480" cy="304200"/>
        </a:xfrm>
        <a:custGeom>
          <a:avLst/>
          <a:gdLst>
            <a:gd name="textAreaLeft" fmla="*/ 43200 w 294480"/>
            <a:gd name="textAreaRight" fmla="*/ 251280 w 294480"/>
            <a:gd name="textAreaTop" fmla="*/ 44640 h 304200"/>
            <a:gd name="textAreaBottom" fmla="*/ 259560 h 304200"/>
          </a:gdLst>
          <a:ahLst/>
          <a:rect l="textAreaLeft" t="textAreaTop" r="textAreaRight" b="textAreaBottom"/>
          <a:pathLst>
            <a:path w="21600" h="21600">
              <a:moveTo>
                <a:pt x="10800" y="0"/>
              </a:moveTo>
              <a:arcTo wR="10800" hR="10800" stAng="-5400000" swAng="-21600000"/>
              <a:close/>
            </a:path>
          </a:pathLst>
        </a:custGeom>
        <a:solidFill>
          <a:srgbClr val="c00000"/>
        </a:solidFill>
        <a:ln w="6483">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4</a:t>
          </a:r>
          <a:endParaRPr b="0" lang="en-US" sz="18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189000</xdr:colOff>
      <xdr:row>19</xdr:row>
      <xdr:rowOff>23040</xdr:rowOff>
    </xdr:from>
    <xdr:to>
      <xdr:col>13</xdr:col>
      <xdr:colOff>477360</xdr:colOff>
      <xdr:row>21</xdr:row>
      <xdr:rowOff>54000</xdr:rowOff>
    </xdr:to>
    <xdr:sp>
      <xdr:nvSpPr>
        <xdr:cNvPr id="7" name="Retângulo: Cantos Arredondados 2"/>
        <xdr:cNvSpPr/>
      </xdr:nvSpPr>
      <xdr:spPr>
        <a:xfrm>
          <a:off x="5766840" y="3706200"/>
          <a:ext cx="6786360" cy="411840"/>
        </a:xfrm>
        <a:custGeom>
          <a:avLst/>
          <a:gdLst>
            <a:gd name="textAreaLeft" fmla="*/ 19800 w 6786360"/>
            <a:gd name="textAreaRight" fmla="*/ 6766560 w 6786360"/>
            <a:gd name="textAreaTop" fmla="*/ 19800 h 411840"/>
            <a:gd name="textAreaBottom" fmla="*/ 392040 h 411840"/>
          </a:gdLst>
          <a:ahLst/>
          <a:rect l="textAreaLeft" t="textAreaTop" r="textAreaRight" b="textAreaBottom"/>
          <a:pathLst>
            <a:path w="18852" h="1235">
              <a:moveTo>
                <a:pt x="191" y="0"/>
              </a:moveTo>
              <a:arcTo wR="190.833333333333" hR="190.833333333333" stAng="16200000" swAng="-5400000"/>
              <a:lnTo>
                <a:pt x="0" y="954"/>
              </a:lnTo>
              <a:arcTo wR="190.833333333333" hR="190.833333333333" stAng="10800000" swAng="-5400000"/>
              <a:lnTo>
                <a:pt x="18661" y="1145"/>
              </a:lnTo>
              <a:arcTo wR="190.833333333333" hR="190.833333333333" stAng="5400000" swAng="-5400000"/>
              <a:lnTo>
                <a:pt x="18852" y="191"/>
              </a:lnTo>
              <a:arcTo wR="190.833333333333" hR="190.833333333333" stAng="0" swAng="-5400000"/>
              <a:close/>
            </a:path>
          </a:pathLst>
        </a:custGeom>
        <a:solidFill>
          <a:srgbClr val="c00000"/>
        </a:solidFill>
        <a:ln w="25557">
          <a:solidFill>
            <a:srgbClr val="3a5f8b"/>
          </a:solidFill>
          <a:miter/>
        </a:ln>
      </xdr:spPr>
      <xdr:style>
        <a:lnRef idx="0"/>
        <a:fillRef idx="0"/>
        <a:effectRef idx="0"/>
        <a:fontRef idx="minor"/>
      </xdr:style>
      <xdr:txBody>
        <a:bodyPr lIns="90000" rIns="90000" tIns="45000" bIns="45000" anchor="t">
          <a:noAutofit/>
        </a:bodyPr>
        <a:p>
          <a:pPr defTabSz="914400">
            <a:lnSpc>
              <a:spcPct val="100000"/>
            </a:lnSpc>
            <a:tabLst>
              <a:tab algn="l" pos="0"/>
            </a:tabLst>
          </a:pPr>
          <a:r>
            <a:rPr b="0" lang="pt-BR" sz="1600" spc="-1" strike="noStrike">
              <a:solidFill>
                <a:srgbClr val="ffffff"/>
              </a:solidFill>
              <a:latin typeface="Calibri"/>
            </a:rPr>
            <a:t>Observar a capacidade do time para dimensionar o esforço nos sprints.</a:t>
          </a:r>
          <a:endParaRPr b="0" lang="en-US" sz="1600" spc="-1" strike="noStrike">
            <a:latin typeface="Times New Roman"/>
          </a:endParaRPr>
        </a:p>
      </xdr:txBody>
    </xdr:sp>
    <xdr:clientData/>
  </xdr:twoCellAnchor>
  <xdr:twoCellAnchor editAs="oneCell">
    <xdr:from>
      <xdr:col>1</xdr:col>
      <xdr:colOff>957240</xdr:colOff>
      <xdr:row>8</xdr:row>
      <xdr:rowOff>53640</xdr:rowOff>
    </xdr:from>
    <xdr:to>
      <xdr:col>8</xdr:col>
      <xdr:colOff>54360</xdr:colOff>
      <xdr:row>15</xdr:row>
      <xdr:rowOff>128880</xdr:rowOff>
    </xdr:to>
    <xdr:cxnSp>
      <xdr:nvCxnSpPr>
        <xdr:cNvPr id="8" name="Conector de Seta Reta 5"/>
        <xdr:cNvCxnSpPr/>
      </xdr:nvCxnSpPr>
      <xdr:spPr>
        <a:xfrm rot="10800000">
          <a:off x="4481640" y="1611000"/>
          <a:ext cx="4646880" cy="1409040"/>
        </a:xfrm>
        <a:prstGeom prst="bentConnector3">
          <a:avLst>
            <a:gd name="adj1" fmla="val 49996"/>
          </a:avLst>
        </a:prstGeom>
        <a:ln w="9363">
          <a:solidFill>
            <a:srgbClr val="4a7ebb"/>
          </a:solidFill>
          <a:miter/>
          <a:tailEnd len="med" type="arrow" w="med"/>
        </a:ln>
      </xdr:spPr>
    </xdr:cxnSp>
    <xdr:clientData/>
  </xdr:twoCellAnchor>
  <xdr:twoCellAnchor editAs="oneCell">
    <xdr:from>
      <xdr:col>5</xdr:col>
      <xdr:colOff>513720</xdr:colOff>
      <xdr:row>14</xdr:row>
      <xdr:rowOff>101520</xdr:rowOff>
    </xdr:from>
    <xdr:to>
      <xdr:col>8</xdr:col>
      <xdr:colOff>139680</xdr:colOff>
      <xdr:row>15</xdr:row>
      <xdr:rowOff>177120</xdr:rowOff>
    </xdr:to>
    <xdr:cxnSp>
      <xdr:nvCxnSpPr>
        <xdr:cNvPr id="9" name="Conector de Seta Reta 6"/>
        <xdr:cNvCxnSpPr/>
      </xdr:nvCxnSpPr>
      <xdr:spPr>
        <a:xfrm rot="10800000">
          <a:off x="8018640" y="2801880"/>
          <a:ext cx="1195560" cy="266400"/>
        </a:xfrm>
        <a:prstGeom prst="bentConnector3">
          <a:avLst>
            <a:gd name="adj1" fmla="val 50000"/>
          </a:avLst>
        </a:prstGeom>
        <a:ln w="9363">
          <a:solidFill>
            <a:srgbClr val="4a7ebb"/>
          </a:solidFill>
          <a:miter/>
          <a:tailEnd len="med" type="arrow" w="med"/>
        </a:ln>
      </xdr:spPr>
    </xdr:cxnSp>
    <xdr:clientData/>
  </xdr:twoCellAnchor>
  <xdr:twoCellAnchor editAs="oneCell">
    <xdr:from>
      <xdr:col>7</xdr:col>
      <xdr:colOff>493920</xdr:colOff>
      <xdr:row>14</xdr:row>
      <xdr:rowOff>101520</xdr:rowOff>
    </xdr:from>
    <xdr:to>
      <xdr:col>8</xdr:col>
      <xdr:colOff>155880</xdr:colOff>
      <xdr:row>15</xdr:row>
      <xdr:rowOff>177120</xdr:rowOff>
    </xdr:to>
    <xdr:cxnSp>
      <xdr:nvCxnSpPr>
        <xdr:cNvPr id="10" name="Conector de Seta Reta 9"/>
        <xdr:cNvCxnSpPr/>
      </xdr:nvCxnSpPr>
      <xdr:spPr>
        <a:xfrm flipV="1" rot="16200000">
          <a:off x="9014400" y="2852280"/>
          <a:ext cx="266400" cy="165960"/>
        </a:xfrm>
        <a:prstGeom prst="bentConnector3">
          <a:avLst>
            <a:gd name="adj1" fmla="val 49932"/>
          </a:avLst>
        </a:prstGeom>
        <a:ln w="9363">
          <a:solidFill>
            <a:srgbClr val="4a7ebb"/>
          </a:solidFill>
          <a:miter/>
          <a:tailEnd len="med" type="arrow" w="med"/>
        </a:ln>
      </xdr:spPr>
    </xdr:cxnSp>
    <xdr:clientData/>
  </xdr:twoCellAnchor>
  <xdr:twoCellAnchor editAs="oneCell">
    <xdr:from>
      <xdr:col>9</xdr:col>
      <xdr:colOff>360</xdr:colOff>
      <xdr:row>14</xdr:row>
      <xdr:rowOff>101520</xdr:rowOff>
    </xdr:from>
    <xdr:to>
      <xdr:col>9</xdr:col>
      <xdr:colOff>370800</xdr:colOff>
      <xdr:row>15</xdr:row>
      <xdr:rowOff>177120</xdr:rowOff>
    </xdr:to>
    <xdr:cxnSp>
      <xdr:nvCxnSpPr>
        <xdr:cNvPr id="11" name="Conector de Seta Reta 12"/>
        <xdr:cNvCxnSpPr/>
      </xdr:nvCxnSpPr>
      <xdr:spPr>
        <a:xfrm flipV="1">
          <a:off x="9616680" y="2802240"/>
          <a:ext cx="370800" cy="266400"/>
        </a:xfrm>
        <a:prstGeom prst="bentConnector3">
          <a:avLst>
            <a:gd name="adj1" fmla="val 50048"/>
          </a:avLst>
        </a:prstGeom>
        <a:ln w="9363">
          <a:solidFill>
            <a:srgbClr val="4a7ebb"/>
          </a:solidFill>
          <a:miter/>
          <a:tailEnd len="med" type="arrow" w="med"/>
        </a:ln>
      </xdr:spPr>
    </xdr:cxnSp>
    <xdr:clientData/>
  </xdr:twoCellAnchor>
  <xdr:twoCellAnchor editAs="oneCell">
    <xdr:from>
      <xdr:col>9</xdr:col>
      <xdr:colOff>360</xdr:colOff>
      <xdr:row>14</xdr:row>
      <xdr:rowOff>101520</xdr:rowOff>
    </xdr:from>
    <xdr:to>
      <xdr:col>11</xdr:col>
      <xdr:colOff>298800</xdr:colOff>
      <xdr:row>15</xdr:row>
      <xdr:rowOff>177120</xdr:rowOff>
    </xdr:to>
    <xdr:cxnSp>
      <xdr:nvCxnSpPr>
        <xdr:cNvPr id="12" name="Conector de Seta Reta 15"/>
        <xdr:cNvCxnSpPr/>
      </xdr:nvCxnSpPr>
      <xdr:spPr>
        <a:xfrm flipV="1">
          <a:off x="9616680" y="2802240"/>
          <a:ext cx="1625400" cy="266400"/>
        </a:xfrm>
        <a:prstGeom prst="bentConnector3">
          <a:avLst>
            <a:gd name="adj1" fmla="val 50000"/>
          </a:avLst>
        </a:prstGeom>
        <a:ln w="9363">
          <a:solidFill>
            <a:srgbClr val="4a7ebb"/>
          </a:solidFill>
          <a:miter/>
          <a:tailEnd len="med" type="arrow"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8.6171875" defaultRowHeight="15" zeroHeight="false" outlineLevelRow="0" outlineLevelCol="0"/>
  <cols>
    <col collapsed="false" customWidth="true" hidden="false" outlineLevel="0" max="1" min="1" style="1" width="21.62"/>
    <col collapsed="false" customWidth="true" hidden="false" outlineLevel="0" max="2" min="2" style="1" width="44.75"/>
    <col collapsed="false" customWidth="true" hidden="false" outlineLevel="0" max="3" min="3" style="1" width="45"/>
    <col collapsed="false" customWidth="true" hidden="false" outlineLevel="0" max="1024" min="4" style="1" width="8.12"/>
    <col collapsed="false" customWidth="true" hidden="false" outlineLevel="0" max="1025" min="1025" style="0" width="9"/>
  </cols>
  <sheetData>
    <row r="1" customFormat="false" ht="20.25" hidden="false" customHeight="true" outlineLevel="0" collapsed="false">
      <c r="A1" s="2" t="s">
        <v>0</v>
      </c>
      <c r="B1" s="2"/>
      <c r="C1" s="2"/>
    </row>
    <row r="2" customFormat="false" ht="22.35" hidden="false" customHeight="true" outlineLevel="0" collapsed="false">
      <c r="A2" s="3" t="s">
        <v>1</v>
      </c>
      <c r="B2" s="3"/>
      <c r="C2" s="3"/>
    </row>
    <row r="3" customFormat="false" ht="15" hidden="false" customHeight="false" outlineLevel="0" collapsed="false">
      <c r="A3" s="4" t="s">
        <v>2</v>
      </c>
      <c r="B3" s="4" t="s">
        <v>3</v>
      </c>
      <c r="C3" s="4" t="s">
        <v>4</v>
      </c>
    </row>
    <row r="4" customFormat="false" ht="15" hidden="false" customHeight="false" outlineLevel="0" collapsed="false">
      <c r="A4" s="5" t="s">
        <v>5</v>
      </c>
      <c r="B4" s="5" t="s">
        <v>6</v>
      </c>
      <c r="C4" s="5" t="s">
        <v>7</v>
      </c>
    </row>
    <row r="5" customFormat="false" ht="15" hidden="false" customHeight="false" outlineLevel="0" collapsed="false">
      <c r="A5" s="5" t="s">
        <v>8</v>
      </c>
      <c r="B5" s="5" t="s">
        <v>6</v>
      </c>
      <c r="C5" s="5" t="s">
        <v>7</v>
      </c>
    </row>
    <row r="6" customFormat="false" ht="15" hidden="false" customHeight="false" outlineLevel="0" collapsed="false">
      <c r="A6" s="5" t="s">
        <v>9</v>
      </c>
      <c r="B6" s="5" t="s">
        <v>6</v>
      </c>
      <c r="C6" s="5" t="s">
        <v>7</v>
      </c>
    </row>
    <row r="7" customFormat="false" ht="15" hidden="false" customHeight="false" outlineLevel="0" collapsed="false">
      <c r="A7" s="5" t="s">
        <v>9</v>
      </c>
      <c r="B7" s="5"/>
      <c r="C7" s="5"/>
    </row>
    <row r="8" customFormat="false" ht="15" hidden="false" customHeight="false" outlineLevel="0" collapsed="false">
      <c r="A8" s="5"/>
      <c r="B8" s="5"/>
      <c r="C8" s="5"/>
    </row>
    <row r="9" customFormat="false" ht="15" hidden="false" customHeight="false" outlineLevel="0" collapsed="false">
      <c r="A9" s="5"/>
      <c r="B9" s="5"/>
      <c r="C9" s="5"/>
    </row>
    <row r="10" customFormat="false" ht="15" hidden="false" customHeight="false" outlineLevel="0" collapsed="false">
      <c r="A10" s="5"/>
      <c r="B10" s="5"/>
      <c r="C10" s="5"/>
    </row>
    <row r="11" customFormat="false" ht="15" hidden="false" customHeight="false" outlineLevel="0" collapsed="false">
      <c r="A11" s="5"/>
      <c r="B11" s="5"/>
      <c r="C11" s="5"/>
    </row>
    <row r="12" customFormat="false" ht="15" hidden="false" customHeight="false" outlineLevel="0" collapsed="false">
      <c r="A12" s="5"/>
      <c r="B12" s="5"/>
      <c r="C12" s="5"/>
    </row>
    <row r="13" customFormat="false" ht="15" hidden="false" customHeight="false" outlineLevel="0" collapsed="false">
      <c r="A13" s="5"/>
      <c r="B13" s="5"/>
      <c r="C13" s="5"/>
    </row>
    <row r="14" customFormat="false" ht="15" hidden="false" customHeight="false" outlineLevel="0" collapsed="false">
      <c r="A14" s="5"/>
      <c r="B14" s="5"/>
      <c r="C14" s="5"/>
    </row>
    <row r="15" customFormat="false" ht="15" hidden="false" customHeight="false" outlineLevel="0" collapsed="false">
      <c r="A15" s="5"/>
      <c r="B15" s="5"/>
      <c r="C15" s="5"/>
    </row>
    <row r="16" customFormat="false" ht="15" hidden="false" customHeight="false" outlineLevel="0" collapsed="false">
      <c r="A16" s="5"/>
      <c r="B16" s="5"/>
      <c r="C16" s="5"/>
    </row>
    <row r="17" customFormat="false" ht="15" hidden="false" customHeight="false" outlineLevel="0" collapsed="false">
      <c r="A17" s="5"/>
      <c r="B17" s="5"/>
      <c r="C17" s="5"/>
    </row>
  </sheetData>
  <mergeCells count="2">
    <mergeCell ref="A1:C1"/>
    <mergeCell ref="A2:C2"/>
  </mergeCell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false" showOutlineSymbols="true" defaultGridColor="true" view="normal" topLeftCell="C2" colorId="64" zoomScale="100" zoomScaleNormal="100" zoomScalePageLayoutView="100" workbookViewId="0">
      <selection pane="topLeft" activeCell="C25" activeCellId="0" sqref="C25"/>
    </sheetView>
  </sheetViews>
  <sheetFormatPr defaultColWidth="8.6171875" defaultRowHeight="15" zeroHeight="false" outlineLevelRow="0" outlineLevelCol="0"/>
  <cols>
    <col collapsed="false" customWidth="true" hidden="false" outlineLevel="0" max="1" min="1" style="6" width="10.26"/>
    <col collapsed="false" customWidth="true" hidden="false" outlineLevel="0" max="2" min="2" style="7" width="11.62"/>
    <col collapsed="false" customWidth="true" hidden="false" outlineLevel="0" max="3" min="3" style="7" width="71.5"/>
    <col collapsed="false" customWidth="true" hidden="false" outlineLevel="0" max="4" min="4" style="8" width="8.75"/>
    <col collapsed="false" customWidth="true" hidden="false" outlineLevel="0" max="5" min="5" style="7" width="1.62"/>
    <col collapsed="false" customWidth="true" hidden="false" outlineLevel="0" max="6" min="6" style="7" width="4.25"/>
    <col collapsed="false" customWidth="true" hidden="false" outlineLevel="0" max="7" min="7" style="7" width="49"/>
    <col collapsed="false" customWidth="true" hidden="false" outlineLevel="0" max="9" min="8" style="7" width="8.5"/>
    <col collapsed="false" customWidth="true" hidden="false" outlineLevel="0" max="10" min="10" style="7" width="10.75"/>
    <col collapsed="false" customWidth="true" hidden="false" outlineLevel="0" max="11" min="11" style="7" width="11.88"/>
    <col collapsed="false" customWidth="true" hidden="false" outlineLevel="0" max="1024" min="12" style="7" width="8.5"/>
    <col collapsed="false" customWidth="true" hidden="false" outlineLevel="0" max="1025" min="1025" style="0" width="9"/>
  </cols>
  <sheetData>
    <row r="1" customFormat="false" ht="12" hidden="false" customHeight="true" outlineLevel="0" collapsed="false">
      <c r="A1" s="9" t="s">
        <v>10</v>
      </c>
      <c r="B1" s="9"/>
      <c r="C1" s="9"/>
      <c r="D1" s="9"/>
      <c r="F1" s="10" t="s">
        <v>11</v>
      </c>
      <c r="G1" s="10"/>
      <c r="H1" s="10"/>
      <c r="I1" s="10"/>
      <c r="J1" s="10"/>
      <c r="K1" s="10"/>
      <c r="L1" s="10"/>
    </row>
    <row r="2" customFormat="false" ht="42" hidden="false" customHeight="true" outlineLevel="0" collapsed="false">
      <c r="A2" s="11" t="s">
        <v>12</v>
      </c>
      <c r="B2" s="11"/>
      <c r="C2" s="11"/>
      <c r="D2" s="11"/>
      <c r="F2" s="12" t="s">
        <v>13</v>
      </c>
      <c r="G2" s="12"/>
      <c r="H2" s="12"/>
      <c r="I2" s="12"/>
      <c r="J2" s="12"/>
      <c r="K2" s="12"/>
      <c r="L2" s="12"/>
    </row>
    <row r="3" customFormat="false" ht="24" hidden="false" customHeight="true" outlineLevel="0" collapsed="false">
      <c r="A3" s="13" t="s">
        <v>14</v>
      </c>
      <c r="B3" s="13" t="s">
        <v>15</v>
      </c>
      <c r="C3" s="13" t="s">
        <v>16</v>
      </c>
      <c r="D3" s="13" t="s">
        <v>17</v>
      </c>
      <c r="F3" s="13" t="s">
        <v>14</v>
      </c>
      <c r="G3" s="14" t="s">
        <v>18</v>
      </c>
      <c r="H3" s="13" t="s">
        <v>11</v>
      </c>
      <c r="I3" s="13"/>
      <c r="J3" s="13"/>
      <c r="K3" s="13"/>
      <c r="L3" s="13"/>
    </row>
    <row r="4" customFormat="false" ht="24" hidden="false" customHeight="true" outlineLevel="0" collapsed="false">
      <c r="A4" s="15" t="s">
        <v>19</v>
      </c>
      <c r="B4" s="15"/>
      <c r="C4" s="15"/>
      <c r="D4" s="16" t="s">
        <v>20</v>
      </c>
      <c r="F4" s="17" t="s">
        <v>21</v>
      </c>
      <c r="G4" s="17" t="s">
        <v>22</v>
      </c>
      <c r="H4" s="16" t="s">
        <v>23</v>
      </c>
      <c r="I4" s="16" t="s">
        <v>24</v>
      </c>
      <c r="J4" s="16" t="s">
        <v>25</v>
      </c>
      <c r="K4" s="15" t="s">
        <v>26</v>
      </c>
      <c r="L4" s="16" t="s">
        <v>27</v>
      </c>
    </row>
    <row r="5" customFormat="false" ht="15" hidden="false" customHeight="false" outlineLevel="0" collapsed="false">
      <c r="A5" s="18" t="n">
        <v>1</v>
      </c>
      <c r="B5" s="19" t="s">
        <v>19</v>
      </c>
      <c r="C5" s="20" t="s">
        <v>28</v>
      </c>
      <c r="D5" s="21" t="n">
        <v>10</v>
      </c>
      <c r="F5" s="22" t="n">
        <v>1</v>
      </c>
      <c r="G5" s="20" t="s">
        <v>29</v>
      </c>
      <c r="H5" s="23" t="n">
        <v>10</v>
      </c>
      <c r="I5" s="23" t="n">
        <v>10</v>
      </c>
      <c r="J5" s="23" t="n">
        <v>10</v>
      </c>
      <c r="K5" s="23" t="n">
        <v>10</v>
      </c>
      <c r="L5" s="24" t="n">
        <f aca="false">SUM(H5:K5)</f>
        <v>40</v>
      </c>
    </row>
    <row r="6" customFormat="false" ht="15" hidden="false" customHeight="false" outlineLevel="0" collapsed="false">
      <c r="A6" s="18" t="n">
        <v>2</v>
      </c>
      <c r="B6" s="19" t="s">
        <v>19</v>
      </c>
      <c r="C6" s="20" t="s">
        <v>30</v>
      </c>
      <c r="D6" s="21" t="n">
        <v>1</v>
      </c>
      <c r="F6" s="22" t="n">
        <v>2</v>
      </c>
      <c r="G6" s="20" t="s">
        <v>31</v>
      </c>
      <c r="H6" s="23" t="n">
        <v>10</v>
      </c>
      <c r="I6" s="23" t="n">
        <v>10</v>
      </c>
      <c r="J6" s="23" t="n">
        <v>5</v>
      </c>
      <c r="K6" s="23" t="n">
        <v>10</v>
      </c>
      <c r="L6" s="24" t="n">
        <f aca="false">SUM(H6:K6)</f>
        <v>35</v>
      </c>
    </row>
    <row r="7" customFormat="false" ht="15" hidden="false" customHeight="false" outlineLevel="0" collapsed="false">
      <c r="A7" s="18" t="n">
        <v>3</v>
      </c>
      <c r="B7" s="19" t="s">
        <v>19</v>
      </c>
      <c r="C7" s="20" t="s">
        <v>32</v>
      </c>
      <c r="D7" s="21" t="n">
        <v>3</v>
      </c>
      <c r="F7" s="25" t="n">
        <v>3</v>
      </c>
      <c r="G7" s="20" t="s">
        <v>33</v>
      </c>
      <c r="H7" s="23" t="n">
        <v>10</v>
      </c>
      <c r="I7" s="23" t="n">
        <v>10</v>
      </c>
      <c r="J7" s="23" t="n">
        <v>0</v>
      </c>
      <c r="K7" s="23" t="n">
        <v>8</v>
      </c>
      <c r="L7" s="24" t="n">
        <f aca="false">SUM(H7:K7)</f>
        <v>28</v>
      </c>
    </row>
    <row r="8" customFormat="false" ht="15" hidden="false" customHeight="false" outlineLevel="0" collapsed="false">
      <c r="A8" s="18" t="n">
        <v>4</v>
      </c>
      <c r="B8" s="19" t="s">
        <v>19</v>
      </c>
      <c r="C8" s="20" t="s">
        <v>34</v>
      </c>
      <c r="D8" s="21" t="n">
        <v>6</v>
      </c>
    </row>
    <row r="9" customFormat="false" ht="15" hidden="false" customHeight="false" outlineLevel="0" collapsed="false">
      <c r="A9" s="18" t="n">
        <v>5</v>
      </c>
      <c r="B9" s="19" t="s">
        <v>19</v>
      </c>
      <c r="C9" s="20" t="s">
        <v>35</v>
      </c>
      <c r="D9" s="21" t="n">
        <v>3</v>
      </c>
    </row>
    <row r="10" customFormat="false" ht="15" hidden="false" customHeight="false" outlineLevel="0" collapsed="false">
      <c r="A10" s="18" t="n">
        <v>6</v>
      </c>
      <c r="B10" s="19" t="s">
        <v>19</v>
      </c>
      <c r="C10" s="20" t="s">
        <v>36</v>
      </c>
      <c r="D10" s="21" t="n">
        <v>2</v>
      </c>
    </row>
    <row r="11" customFormat="false" ht="15" hidden="false" customHeight="true" outlineLevel="0" collapsed="false">
      <c r="A11" s="15" t="s">
        <v>37</v>
      </c>
      <c r="B11" s="15"/>
      <c r="C11" s="15"/>
      <c r="D11" s="16" t="n">
        <f aca="false">SUM(D5:D10)</f>
        <v>25</v>
      </c>
    </row>
    <row r="12" customFormat="false" ht="15" hidden="false" customHeight="false" outlineLevel="0" collapsed="false">
      <c r="A12" s="18" t="n">
        <v>7</v>
      </c>
      <c r="B12" s="19" t="s">
        <v>37</v>
      </c>
      <c r="C12" s="20" t="s">
        <v>38</v>
      </c>
      <c r="D12" s="21" t="n">
        <v>2</v>
      </c>
    </row>
    <row r="13" customFormat="false" ht="15" hidden="false" customHeight="false" outlineLevel="0" collapsed="false">
      <c r="A13" s="18" t="n">
        <v>8</v>
      </c>
      <c r="B13" s="19" t="s">
        <v>37</v>
      </c>
      <c r="C13" s="20" t="s">
        <v>39</v>
      </c>
      <c r="D13" s="21" t="n">
        <v>30</v>
      </c>
    </row>
    <row r="14" customFormat="false" ht="15" hidden="false" customHeight="false" outlineLevel="0" collapsed="false">
      <c r="A14" s="18" t="n">
        <v>9</v>
      </c>
      <c r="B14" s="19" t="s">
        <v>37</v>
      </c>
      <c r="C14" s="26" t="s">
        <v>40</v>
      </c>
      <c r="D14" s="21" t="n">
        <v>2</v>
      </c>
    </row>
    <row r="15" customFormat="false" ht="15" hidden="false" customHeight="false" outlineLevel="0" collapsed="false">
      <c r="A15" s="18" t="n">
        <v>10</v>
      </c>
      <c r="B15" s="19" t="s">
        <v>37</v>
      </c>
      <c r="C15" s="27" t="s">
        <v>41</v>
      </c>
      <c r="D15" s="21" t="n">
        <v>4</v>
      </c>
    </row>
    <row r="16" customFormat="false" ht="15" hidden="false" customHeight="false" outlineLevel="0" collapsed="false">
      <c r="A16" s="18" t="n">
        <v>11</v>
      </c>
      <c r="B16" s="19" t="s">
        <v>37</v>
      </c>
      <c r="C16" s="28" t="s">
        <v>42</v>
      </c>
      <c r="D16" s="21" t="n">
        <v>6</v>
      </c>
    </row>
    <row r="17" customFormat="false" ht="15" hidden="false" customHeight="false" outlineLevel="0" collapsed="false">
      <c r="A17" s="18" t="n">
        <v>12</v>
      </c>
      <c r="B17" s="19" t="s">
        <v>37</v>
      </c>
      <c r="C17" s="29" t="s">
        <v>43</v>
      </c>
      <c r="D17" s="21" t="n">
        <v>3</v>
      </c>
    </row>
    <row r="18" customFormat="false" ht="15" hidden="false" customHeight="false" outlineLevel="0" collapsed="false">
      <c r="A18" s="18" t="n">
        <v>13</v>
      </c>
      <c r="B18" s="19" t="s">
        <v>37</v>
      </c>
      <c r="C18" s="29" t="s">
        <v>44</v>
      </c>
      <c r="D18" s="21" t="n">
        <v>6</v>
      </c>
    </row>
    <row r="19" customFormat="false" ht="15" hidden="false" customHeight="false" outlineLevel="0" collapsed="false">
      <c r="A19" s="18" t="n">
        <v>22</v>
      </c>
      <c r="B19" s="19" t="s">
        <v>37</v>
      </c>
      <c r="C19" s="26" t="s">
        <v>45</v>
      </c>
      <c r="D19" s="21" t="n">
        <v>2</v>
      </c>
      <c r="H19" s="8"/>
      <c r="I19" s="8"/>
      <c r="J19" s="8"/>
      <c r="K19" s="8"/>
      <c r="L19" s="8"/>
    </row>
    <row r="20" customFormat="false" ht="15" hidden="false" customHeight="false" outlineLevel="0" collapsed="false">
      <c r="A20" s="18" t="n">
        <v>23</v>
      </c>
      <c r="B20" s="19" t="s">
        <v>37</v>
      </c>
      <c r="C20" s="26" t="s">
        <v>46</v>
      </c>
      <c r="D20" s="21" t="n">
        <v>2</v>
      </c>
      <c r="H20" s="8"/>
      <c r="I20" s="8"/>
      <c r="J20" s="8"/>
      <c r="K20" s="8"/>
      <c r="L20" s="8"/>
    </row>
    <row r="21" customFormat="false" ht="15" hidden="false" customHeight="true" outlineLevel="0" collapsed="false">
      <c r="A21" s="15" t="s">
        <v>47</v>
      </c>
      <c r="B21" s="15"/>
      <c r="C21" s="15"/>
      <c r="D21" s="16" t="n">
        <f aca="false">SUM(D12:D20)</f>
        <v>57</v>
      </c>
      <c r="H21" s="8"/>
      <c r="I21" s="8"/>
      <c r="J21" s="8"/>
      <c r="K21" s="8"/>
      <c r="L21" s="8"/>
    </row>
    <row r="22" customFormat="false" ht="15" hidden="false" customHeight="false" outlineLevel="0" collapsed="false">
      <c r="A22" s="18" t="n">
        <v>23</v>
      </c>
      <c r="B22" s="19" t="s">
        <v>47</v>
      </c>
      <c r="C22" s="20" t="s">
        <v>38</v>
      </c>
      <c r="D22" s="21" t="n">
        <v>2</v>
      </c>
      <c r="H22" s="8"/>
      <c r="I22" s="8"/>
      <c r="J22" s="8"/>
      <c r="K22" s="8"/>
      <c r="L22" s="8"/>
    </row>
    <row r="23" customFormat="false" ht="15" hidden="false" customHeight="false" outlineLevel="0" collapsed="false">
      <c r="A23" s="18" t="n">
        <v>24</v>
      </c>
      <c r="B23" s="19" t="s">
        <v>47</v>
      </c>
      <c r="C23" s="27" t="s">
        <v>48</v>
      </c>
      <c r="D23" s="21" t="n">
        <v>8</v>
      </c>
    </row>
    <row r="24" customFormat="false" ht="15" hidden="false" customHeight="false" outlineLevel="0" collapsed="false">
      <c r="A24" s="18" t="n">
        <v>26</v>
      </c>
      <c r="B24" s="19" t="s">
        <v>47</v>
      </c>
      <c r="C24" s="27" t="s">
        <v>49</v>
      </c>
      <c r="D24" s="21" t="n">
        <v>8</v>
      </c>
    </row>
    <row r="25" customFormat="false" ht="15" hidden="false" customHeight="false" outlineLevel="0" collapsed="false">
      <c r="A25" s="18" t="n">
        <v>28</v>
      </c>
      <c r="B25" s="19" t="s">
        <v>47</v>
      </c>
      <c r="C25" s="27" t="s">
        <v>50</v>
      </c>
      <c r="D25" s="21" t="n">
        <v>8</v>
      </c>
    </row>
    <row r="26" customFormat="false" ht="15" hidden="false" customHeight="false" outlineLevel="0" collapsed="false">
      <c r="A26" s="18" t="n">
        <v>30</v>
      </c>
      <c r="B26" s="19" t="s">
        <v>47</v>
      </c>
      <c r="C26" s="26" t="s">
        <v>45</v>
      </c>
      <c r="D26" s="21" t="n">
        <v>2</v>
      </c>
    </row>
    <row r="27" customFormat="false" ht="15" hidden="false" customHeight="false" outlineLevel="0" collapsed="false">
      <c r="A27" s="18" t="n">
        <v>31</v>
      </c>
      <c r="B27" s="19" t="s">
        <v>47</v>
      </c>
      <c r="C27" s="26" t="s">
        <v>46</v>
      </c>
      <c r="D27" s="21" t="n">
        <v>2</v>
      </c>
    </row>
    <row r="28" customFormat="false" ht="15" hidden="false" customHeight="true" outlineLevel="0" collapsed="false">
      <c r="A28" s="15" t="s">
        <v>51</v>
      </c>
      <c r="B28" s="15"/>
      <c r="C28" s="15"/>
      <c r="D28" s="16" t="n">
        <f aca="false">SUM(D22:D27)</f>
        <v>30</v>
      </c>
    </row>
    <row r="29" customFormat="false" ht="15" hidden="false" customHeight="false" outlineLevel="0" collapsed="false">
      <c r="A29" s="18" t="n">
        <v>31</v>
      </c>
      <c r="B29" s="19" t="s">
        <v>51</v>
      </c>
      <c r="C29" s="20" t="s">
        <v>38</v>
      </c>
      <c r="D29" s="21" t="n">
        <v>2</v>
      </c>
    </row>
    <row r="30" customFormat="false" ht="15" hidden="false" customHeight="false" outlineLevel="0" collapsed="false">
      <c r="A30" s="18" t="n">
        <v>32</v>
      </c>
      <c r="B30" s="19" t="s">
        <v>51</v>
      </c>
      <c r="C30" s="26" t="s">
        <v>52</v>
      </c>
      <c r="D30" s="21" t="n">
        <v>4</v>
      </c>
    </row>
    <row r="31" customFormat="false" ht="15" hidden="false" customHeight="false" outlineLevel="0" collapsed="false">
      <c r="A31" s="18" t="n">
        <v>33</v>
      </c>
      <c r="B31" s="19" t="s">
        <v>51</v>
      </c>
      <c r="C31" s="26" t="s">
        <v>53</v>
      </c>
      <c r="D31" s="21" t="n">
        <v>5</v>
      </c>
    </row>
    <row r="32" customFormat="false" ht="15" hidden="false" customHeight="false" outlineLevel="0" collapsed="false">
      <c r="A32" s="18" t="n">
        <v>34</v>
      </c>
      <c r="B32" s="19" t="s">
        <v>51</v>
      </c>
      <c r="C32" s="26" t="s">
        <v>54</v>
      </c>
      <c r="D32" s="21" t="n">
        <v>6</v>
      </c>
    </row>
    <row r="33" customFormat="false" ht="15" hidden="false" customHeight="false" outlineLevel="0" collapsed="false">
      <c r="A33" s="18" t="n">
        <v>35</v>
      </c>
      <c r="B33" s="19" t="s">
        <v>51</v>
      </c>
      <c r="C33" s="20" t="s">
        <v>55</v>
      </c>
      <c r="D33" s="21" t="n">
        <v>4</v>
      </c>
    </row>
    <row r="34" customFormat="false" ht="15" hidden="false" customHeight="false" outlineLevel="0" collapsed="false">
      <c r="A34" s="18" t="n">
        <v>36</v>
      </c>
      <c r="B34" s="19" t="s">
        <v>51</v>
      </c>
      <c r="C34" s="20" t="s">
        <v>56</v>
      </c>
      <c r="D34" s="21" t="n">
        <v>6</v>
      </c>
    </row>
    <row r="35" customFormat="false" ht="15" hidden="false" customHeight="false" outlineLevel="0" collapsed="false">
      <c r="A35" s="18" t="n">
        <v>37</v>
      </c>
      <c r="B35" s="19" t="s">
        <v>51</v>
      </c>
      <c r="C35" s="20" t="s">
        <v>57</v>
      </c>
      <c r="D35" s="21" t="n">
        <v>3</v>
      </c>
    </row>
    <row r="36" customFormat="false" ht="15" hidden="false" customHeight="false" outlineLevel="0" collapsed="false">
      <c r="A36" s="18" t="n">
        <v>38</v>
      </c>
      <c r="B36" s="19" t="s">
        <v>51</v>
      </c>
      <c r="C36" s="20" t="s">
        <v>58</v>
      </c>
      <c r="D36" s="21" t="n">
        <v>3</v>
      </c>
    </row>
    <row r="37" customFormat="false" ht="15" hidden="false" customHeight="false" outlineLevel="0" collapsed="false">
      <c r="A37" s="18" t="n">
        <v>39</v>
      </c>
      <c r="B37" s="30" t="s">
        <v>51</v>
      </c>
      <c r="C37" s="26" t="s">
        <v>45</v>
      </c>
      <c r="D37" s="21" t="n">
        <v>2</v>
      </c>
    </row>
    <row r="38" customFormat="false" ht="12" hidden="false" customHeight="true" outlineLevel="0" collapsed="false">
      <c r="A38" s="31"/>
      <c r="B38" s="31"/>
      <c r="C38" s="31"/>
      <c r="D38" s="16" t="n">
        <f aca="false">SUM(D29:D37)</f>
        <v>35</v>
      </c>
    </row>
    <row r="39" customFormat="false" ht="15" hidden="false" customHeight="false" outlineLevel="0" collapsed="false">
      <c r="D39" s="32" t="n">
        <f aca="false">SUM(D11,D21,D28,D38)</f>
        <v>147</v>
      </c>
    </row>
  </sheetData>
  <mergeCells count="10">
    <mergeCell ref="A1:D1"/>
    <mergeCell ref="F1:L1"/>
    <mergeCell ref="A2:D2"/>
    <mergeCell ref="F2:L2"/>
    <mergeCell ref="H3:L3"/>
    <mergeCell ref="A4:C4"/>
    <mergeCell ref="A11:C11"/>
    <mergeCell ref="A21:C21"/>
    <mergeCell ref="A28:C28"/>
    <mergeCell ref="A38:C38"/>
  </mergeCells>
  <printOptions headings="false" gridLines="false" gridLinesSet="true" horizontalCentered="false" verticalCentered="false"/>
  <pageMargins left="0.7" right="0.7" top="1.14375" bottom="1.14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6171875" defaultRowHeight="15" zeroHeight="false" outlineLevelRow="0" outlineLevelCol="0"/>
  <cols>
    <col collapsed="false" customWidth="true" hidden="false" outlineLevel="0" max="1" min="1" style="1" width="48.25"/>
    <col collapsed="false" customWidth="true" hidden="false" outlineLevel="0" max="2" min="2" style="33" width="15.5"/>
    <col collapsed="false" customWidth="true" hidden="false" outlineLevel="0" max="3" min="3" style="1" width="20.75"/>
    <col collapsed="false" customWidth="true" hidden="false" outlineLevel="0" max="1024" min="4" style="1" width="8.12"/>
    <col collapsed="false" customWidth="true" hidden="false" outlineLevel="0" max="1025" min="1025" style="0" width="9"/>
  </cols>
  <sheetData>
    <row r="1" customFormat="false" ht="15" hidden="false" customHeight="false" outlineLevel="0" collapsed="false">
      <c r="A1" s="34" t="s">
        <v>59</v>
      </c>
      <c r="B1" s="34"/>
      <c r="C1" s="34"/>
    </row>
    <row r="2" customFormat="false" ht="7.5" hidden="false" customHeight="true" outlineLevel="0" collapsed="false"/>
    <row r="3" customFormat="false" ht="15" hidden="false" customHeight="false" outlineLevel="0" collapsed="false">
      <c r="A3" s="35" t="s">
        <v>60</v>
      </c>
      <c r="B3" s="35"/>
      <c r="C3" s="35"/>
    </row>
    <row r="4" customFormat="false" ht="15" hidden="false" customHeight="false" outlineLevel="0" collapsed="false">
      <c r="A4" s="36" t="s">
        <v>61</v>
      </c>
      <c r="B4" s="37" t="n">
        <f aca="false">Backlog_Produto!$D$39</f>
        <v>147</v>
      </c>
      <c r="C4" s="36" t="s">
        <v>62</v>
      </c>
    </row>
    <row r="5" customFormat="false" ht="15" hidden="false" customHeight="false" outlineLevel="0" collapsed="false">
      <c r="A5" s="38" t="s">
        <v>63</v>
      </c>
      <c r="B5" s="39" t="n">
        <v>0.6</v>
      </c>
      <c r="C5" s="38" t="s">
        <v>64</v>
      </c>
      <c r="E5" s="1" t="s">
        <v>65</v>
      </c>
    </row>
    <row r="6" customFormat="false" ht="15" hidden="false" customHeight="false" outlineLevel="0" collapsed="false">
      <c r="A6" s="40" t="s">
        <v>66</v>
      </c>
      <c r="B6" s="41" t="n">
        <v>1</v>
      </c>
      <c r="C6" s="40"/>
    </row>
    <row r="7" customFormat="false" ht="15" hidden="false" customHeight="false" outlineLevel="0" collapsed="false">
      <c r="A7" s="40" t="s">
        <v>67</v>
      </c>
      <c r="B7" s="41" t="n">
        <v>30</v>
      </c>
      <c r="C7" s="40" t="s">
        <v>62</v>
      </c>
    </row>
    <row r="8" customFormat="false" ht="15" hidden="false" customHeight="false" outlineLevel="0" collapsed="false">
      <c r="A8" s="40" t="s">
        <v>68</v>
      </c>
      <c r="B8" s="42" t="n">
        <f aca="false">B6*B7*2</f>
        <v>60</v>
      </c>
      <c r="C8" s="40" t="s">
        <v>62</v>
      </c>
    </row>
    <row r="9" customFormat="false" ht="18.55" hidden="false" customHeight="false" outlineLevel="0" collapsed="false">
      <c r="A9" s="43" t="s">
        <v>69</v>
      </c>
      <c r="B9" s="44" t="n">
        <f aca="false">B11/2</f>
        <v>3.92</v>
      </c>
      <c r="C9" s="43" t="s">
        <v>70</v>
      </c>
    </row>
    <row r="10" customFormat="false" ht="18.55" hidden="false" customHeight="false" outlineLevel="0" collapsed="false">
      <c r="A10" s="45" t="s">
        <v>71</v>
      </c>
      <c r="B10" s="44" t="n">
        <f aca="false">B4+(B4*B5)</f>
        <v>235.2</v>
      </c>
      <c r="C10" s="45" t="s">
        <v>62</v>
      </c>
    </row>
    <row r="11" customFormat="false" ht="15" hidden="false" customHeight="false" outlineLevel="0" collapsed="false">
      <c r="A11" s="40" t="s">
        <v>72</v>
      </c>
      <c r="B11" s="42" t="n">
        <f aca="false">B10/B8*2</f>
        <v>7.84</v>
      </c>
      <c r="C11" s="40" t="s">
        <v>73</v>
      </c>
    </row>
    <row r="12" customFormat="false" ht="15" hidden="false" customHeight="false" outlineLevel="0" collapsed="false">
      <c r="A12" s="36" t="s">
        <v>74</v>
      </c>
      <c r="B12" s="46" t="n">
        <f aca="false">B11/4</f>
        <v>1.96</v>
      </c>
      <c r="C12" s="36" t="s">
        <v>75</v>
      </c>
    </row>
    <row r="14" customFormat="false" ht="15" hidden="false" customHeight="false" outlineLevel="0" collapsed="false">
      <c r="A14" s="35" t="s">
        <v>76</v>
      </c>
      <c r="B14" s="35"/>
      <c r="C14" s="35"/>
    </row>
    <row r="15" customFormat="false" ht="15" hidden="false" customHeight="false" outlineLevel="0" collapsed="false">
      <c r="A15" s="40" t="s">
        <v>77</v>
      </c>
      <c r="B15" s="47" t="n">
        <v>20</v>
      </c>
      <c r="C15" s="48"/>
    </row>
    <row r="16" customFormat="false" ht="15" hidden="false" customHeight="false" outlineLevel="0" collapsed="false">
      <c r="A16" s="40" t="s">
        <v>78</v>
      </c>
      <c r="B16" s="49" t="n">
        <f aca="false">B10*B15</f>
        <v>4704</v>
      </c>
      <c r="C16" s="48"/>
    </row>
    <row r="17" customFormat="false" ht="15" hidden="false" customHeight="false" outlineLevel="0" collapsed="false">
      <c r="A17" s="40" t="s">
        <v>79</v>
      </c>
      <c r="B17" s="39" t="n">
        <v>0.2</v>
      </c>
      <c r="C17" s="48"/>
    </row>
    <row r="18" customFormat="false" ht="15" hidden="false" customHeight="false" outlineLevel="0" collapsed="false">
      <c r="A18" s="40" t="s">
        <v>80</v>
      </c>
      <c r="B18" s="50" t="n">
        <f aca="false">B16*B17</f>
        <v>940.8</v>
      </c>
      <c r="C18" s="48"/>
    </row>
    <row r="19" customFormat="false" ht="17.35" hidden="false" customHeight="false" outlineLevel="0" collapsed="false">
      <c r="A19" s="51" t="s">
        <v>81</v>
      </c>
      <c r="B19" s="52" t="n">
        <f aca="false">B16+B18</f>
        <v>5644.8</v>
      </c>
      <c r="C19" s="48"/>
    </row>
    <row r="20" customFormat="false" ht="15" hidden="false" customHeight="false" outlineLevel="0" collapsed="false">
      <c r="A20" s="40" t="s">
        <v>82</v>
      </c>
      <c r="B20" s="39" t="n">
        <v>0.2</v>
      </c>
      <c r="C20" s="48"/>
    </row>
    <row r="21" customFormat="false" ht="15" hidden="false" customHeight="false" outlineLevel="0" collapsed="false">
      <c r="A21" s="40" t="s">
        <v>83</v>
      </c>
      <c r="B21" s="53" t="n">
        <f aca="false">B19*B20</f>
        <v>1128.96</v>
      </c>
      <c r="C21" s="48"/>
    </row>
    <row r="22" customFormat="false" ht="17.35" hidden="false" customHeight="false" outlineLevel="0" collapsed="false">
      <c r="A22" s="51" t="s">
        <v>84</v>
      </c>
      <c r="B22" s="52" t="n">
        <f aca="false">B19+B21</f>
        <v>6773.76</v>
      </c>
      <c r="C22" s="48"/>
    </row>
  </sheetData>
  <mergeCells count="3">
    <mergeCell ref="A1:C1"/>
    <mergeCell ref="A3:C3"/>
    <mergeCell ref="A14:C14"/>
  </mergeCell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39" activeCellId="0" sqref="I39"/>
    </sheetView>
  </sheetViews>
  <sheetFormatPr defaultColWidth="8.6171875" defaultRowHeight="14.25" zeroHeight="false" outlineLevelRow="0" outlineLevelCol="0"/>
  <cols>
    <col collapsed="false" customWidth="true" hidden="false" outlineLevel="0" max="1" min="1" style="54" width="6.12"/>
    <col collapsed="false" customWidth="true" hidden="false" outlineLevel="0" max="2" min="2" style="7" width="47.12"/>
    <col collapsed="false" customWidth="true" hidden="false" outlineLevel="0" max="3" min="3" style="54" width="13.88"/>
    <col collapsed="false" customWidth="true" hidden="false" outlineLevel="0" max="6" min="4" style="7" width="13.12"/>
    <col collapsed="false" customWidth="true" hidden="false" outlineLevel="0" max="9" min="7" style="7" width="13"/>
    <col collapsed="false" customWidth="true" hidden="false" outlineLevel="0" max="10" min="10" style="6" width="13"/>
    <col collapsed="false" customWidth="true" hidden="false" outlineLevel="0" max="11" min="11" style="7" width="14.75"/>
    <col collapsed="false" customWidth="true" hidden="false" outlineLevel="0" max="1024" min="12" style="7" width="8.5"/>
    <col collapsed="false" customWidth="true" hidden="false" outlineLevel="0" max="1025" min="1025" style="0" width="9"/>
  </cols>
  <sheetData>
    <row r="1" customFormat="false" ht="22.05" hidden="false" customHeight="false" outlineLevel="0" collapsed="false">
      <c r="A1" s="55" t="s">
        <v>85</v>
      </c>
      <c r="B1" s="55"/>
      <c r="C1" s="55"/>
      <c r="D1" s="55"/>
      <c r="E1" s="55"/>
      <c r="F1" s="55"/>
      <c r="G1" s="55"/>
      <c r="H1" s="55"/>
      <c r="I1" s="55"/>
      <c r="J1" s="55"/>
      <c r="K1" s="55"/>
    </row>
    <row r="2" customFormat="false" ht="15" hidden="false" customHeight="false" outlineLevel="0" collapsed="false">
      <c r="A2" s="56" t="s">
        <v>86</v>
      </c>
      <c r="B2" s="56"/>
      <c r="C2" s="56"/>
      <c r="D2" s="56"/>
      <c r="E2" s="57" t="n">
        <f aca="false">Planejamento!$B$10</f>
        <v>235.2</v>
      </c>
      <c r="F2" s="58"/>
      <c r="G2" s="56" t="s">
        <v>86</v>
      </c>
      <c r="H2" s="56"/>
      <c r="I2" s="56"/>
      <c r="J2" s="56"/>
      <c r="K2" s="57"/>
    </row>
    <row r="3" customFormat="false" ht="14.25" hidden="false" customHeight="false" outlineLevel="0" collapsed="false">
      <c r="A3" s="59"/>
      <c r="B3" s="60"/>
      <c r="C3" s="61" t="s">
        <v>87</v>
      </c>
      <c r="D3" s="61"/>
      <c r="E3" s="61"/>
      <c r="F3" s="62"/>
      <c r="G3" s="63" t="s">
        <v>88</v>
      </c>
      <c r="H3" s="63"/>
      <c r="I3" s="63"/>
      <c r="J3" s="64"/>
      <c r="K3" s="65"/>
    </row>
    <row r="4" customFormat="false" ht="14.25" hidden="false" customHeight="false" outlineLevel="0" collapsed="false">
      <c r="A4" s="63" t="s">
        <v>89</v>
      </c>
      <c r="B4" s="63" t="s">
        <v>90</v>
      </c>
      <c r="C4" s="63" t="s">
        <v>91</v>
      </c>
      <c r="D4" s="63" t="s">
        <v>92</v>
      </c>
      <c r="E4" s="63" t="s">
        <v>20</v>
      </c>
      <c r="F4" s="63" t="s">
        <v>93</v>
      </c>
      <c r="G4" s="63" t="s">
        <v>91</v>
      </c>
      <c r="H4" s="63" t="s">
        <v>94</v>
      </c>
      <c r="I4" s="63" t="s">
        <v>20</v>
      </c>
      <c r="J4" s="66" t="s">
        <v>95</v>
      </c>
      <c r="K4" s="63" t="s">
        <v>96</v>
      </c>
    </row>
    <row r="5" customFormat="false" ht="14.25" hidden="false" customHeight="false" outlineLevel="0" collapsed="false">
      <c r="A5" s="67" t="n">
        <v>1</v>
      </c>
      <c r="B5" s="68" t="s">
        <v>97</v>
      </c>
      <c r="C5" s="69" t="s">
        <v>98</v>
      </c>
      <c r="D5" s="69" t="n">
        <v>45904</v>
      </c>
      <c r="E5" s="70" t="n">
        <v>25</v>
      </c>
      <c r="F5" s="71" t="s">
        <v>99</v>
      </c>
      <c r="G5" s="69" t="s">
        <v>98</v>
      </c>
      <c r="H5" s="69" t="n">
        <v>45904</v>
      </c>
      <c r="I5" s="72" t="n">
        <v>24</v>
      </c>
      <c r="J5" s="73" t="n">
        <f aca="false">E5-I5</f>
        <v>1</v>
      </c>
      <c r="K5" s="74" t="s">
        <v>100</v>
      </c>
    </row>
    <row r="6" customFormat="false" ht="14.25" hidden="false" customHeight="false" outlineLevel="0" collapsed="false">
      <c r="A6" s="67" t="n">
        <v>2</v>
      </c>
      <c r="B6" s="75" t="s">
        <v>101</v>
      </c>
      <c r="C6" s="69" t="n">
        <v>45925</v>
      </c>
      <c r="D6" s="76" t="n">
        <v>45939</v>
      </c>
      <c r="E6" s="77" t="n">
        <v>60</v>
      </c>
      <c r="F6" s="78" t="s">
        <v>102</v>
      </c>
      <c r="G6" s="79"/>
      <c r="H6" s="79"/>
      <c r="I6" s="80"/>
      <c r="J6" s="81"/>
      <c r="K6" s="74"/>
    </row>
    <row r="7" customFormat="false" ht="14.25" hidden="false" customHeight="false" outlineLevel="0" collapsed="false">
      <c r="A7" s="67" t="n">
        <v>3</v>
      </c>
      <c r="B7" s="68"/>
      <c r="C7" s="69"/>
      <c r="D7" s="76"/>
      <c r="E7" s="77"/>
      <c r="F7" s="78"/>
      <c r="G7" s="79"/>
      <c r="H7" s="79"/>
      <c r="I7" s="80"/>
      <c r="J7" s="81"/>
      <c r="K7" s="74"/>
    </row>
    <row r="8" customFormat="false" ht="14.25" hidden="false" customHeight="false" outlineLevel="0" collapsed="false">
      <c r="A8" s="67" t="n">
        <v>4</v>
      </c>
      <c r="B8" s="82"/>
      <c r="C8" s="83"/>
      <c r="D8" s="84"/>
      <c r="E8" s="77"/>
      <c r="F8" s="78"/>
      <c r="G8" s="83"/>
      <c r="H8" s="83"/>
      <c r="I8" s="85"/>
      <c r="J8" s="86"/>
      <c r="K8" s="87"/>
    </row>
    <row r="9" customFormat="false" ht="14.25" hidden="false" customHeight="false" outlineLevel="0" collapsed="false">
      <c r="A9" s="67" t="n">
        <v>5</v>
      </c>
      <c r="B9" s="82"/>
      <c r="C9" s="83"/>
      <c r="D9" s="83"/>
      <c r="E9" s="88"/>
      <c r="F9" s="71"/>
      <c r="G9" s="83"/>
      <c r="H9" s="83"/>
      <c r="I9" s="85"/>
      <c r="J9" s="86"/>
      <c r="K9" s="87"/>
    </row>
    <row r="10" customFormat="false" ht="14.25" hidden="false" customHeight="false" outlineLevel="0" collapsed="false">
      <c r="A10" s="67" t="n">
        <v>6</v>
      </c>
      <c r="B10" s="82"/>
      <c r="C10" s="83"/>
      <c r="D10" s="83"/>
      <c r="E10" s="85"/>
      <c r="F10" s="89"/>
      <c r="G10" s="83"/>
      <c r="H10" s="83"/>
      <c r="I10" s="85"/>
      <c r="J10" s="86"/>
      <c r="K10" s="87"/>
    </row>
    <row r="11" customFormat="false" ht="14.25" hidden="false" customHeight="false" outlineLevel="0" collapsed="false">
      <c r="A11" s="67" t="n">
        <v>7</v>
      </c>
      <c r="B11" s="82"/>
      <c r="C11" s="83"/>
      <c r="D11" s="83"/>
      <c r="E11" s="85"/>
      <c r="F11" s="89"/>
      <c r="G11" s="83"/>
      <c r="H11" s="83"/>
      <c r="I11" s="85"/>
      <c r="J11" s="86"/>
      <c r="K11" s="87"/>
    </row>
    <row r="12" customFormat="false" ht="14.25" hidden="false" customHeight="false" outlineLevel="0" collapsed="false">
      <c r="A12" s="67" t="n">
        <v>8</v>
      </c>
      <c r="B12" s="82"/>
      <c r="C12" s="83"/>
      <c r="D12" s="83"/>
      <c r="E12" s="85"/>
      <c r="F12" s="89"/>
      <c r="G12" s="83"/>
      <c r="H12" s="83"/>
      <c r="I12" s="85"/>
      <c r="J12" s="86"/>
      <c r="K12" s="87"/>
    </row>
    <row r="13" customFormat="false" ht="14.25" hidden="false" customHeight="false" outlineLevel="0" collapsed="false">
      <c r="A13" s="67" t="n">
        <v>9</v>
      </c>
      <c r="B13" s="82"/>
      <c r="C13" s="83"/>
      <c r="D13" s="83"/>
      <c r="E13" s="85"/>
      <c r="F13" s="89"/>
      <c r="G13" s="83"/>
      <c r="H13" s="83"/>
      <c r="I13" s="85"/>
      <c r="J13" s="86"/>
      <c r="K13" s="87"/>
    </row>
    <row r="14" customFormat="false" ht="14.25" hidden="false" customHeight="false" outlineLevel="0" collapsed="false">
      <c r="A14" s="67" t="n">
        <v>10</v>
      </c>
      <c r="B14" s="82"/>
      <c r="C14" s="83"/>
      <c r="D14" s="83"/>
      <c r="E14" s="85"/>
      <c r="F14" s="89"/>
      <c r="G14" s="83"/>
      <c r="H14" s="83"/>
      <c r="I14" s="85"/>
      <c r="J14" s="86"/>
      <c r="K14" s="87"/>
    </row>
    <row r="15" customFormat="false" ht="14.25" hidden="false" customHeight="false" outlineLevel="0" collapsed="false">
      <c r="A15" s="90"/>
      <c r="B15" s="91"/>
      <c r="C15" s="92"/>
      <c r="D15" s="91"/>
      <c r="E15" s="93" t="n">
        <f aca="false">SUM(E5:E14)</f>
        <v>85</v>
      </c>
      <c r="F15" s="91"/>
      <c r="G15" s="94"/>
      <c r="H15" s="94"/>
      <c r="I15" s="93" t="n">
        <f aca="false">SUM(I5:I14)</f>
        <v>24</v>
      </c>
      <c r="J15" s="95" t="n">
        <f aca="false">SUM(J5:J14)</f>
        <v>1</v>
      </c>
      <c r="K15" s="94"/>
    </row>
    <row r="16" s="7" customFormat="true" ht="12" hidden="false" customHeight="false" outlineLevel="0" collapsed="false">
      <c r="J16" s="6"/>
    </row>
  </sheetData>
  <mergeCells count="5">
    <mergeCell ref="A1:K1"/>
    <mergeCell ref="A2:D2"/>
    <mergeCell ref="G2:J2"/>
    <mergeCell ref="C3:E3"/>
    <mergeCell ref="G3:I3"/>
  </mergeCells>
  <conditionalFormatting sqref="G5:H14">
    <cfRule type="expression" priority="2" aboveAverage="0" equalAverage="0" bottom="0" percent="0" rank="0" text="" dxfId="0">
      <formula>OR($F5="Planned",$F5="Unplanned")</formula>
    </cfRule>
    <cfRule type="expression" priority="3" aboveAverage="0" equalAverage="0" bottom="0" percent="0" rank="0" text="" dxfId="1">
      <formula>$F5="Ongoing"</formula>
    </cfRule>
  </conditionalFormatting>
  <conditionalFormatting sqref="F5:F14">
    <cfRule type="expression" priority="4" aboveAverage="0" equalAverage="0" bottom="0" percent="0" rank="0" text="" dxfId="2">
      <formula>$F5="Planned"</formula>
    </cfRule>
    <cfRule type="expression" priority="5" aboveAverage="0" equalAverage="0" bottom="0" percent="0" rank="0" text="" dxfId="3">
      <formula>$F5="Ongoing"</formula>
    </cfRule>
    <cfRule type="cellIs" priority="6" operator="equal" aboveAverage="0" equalAverage="0" bottom="0" percent="0" rank="0" text="" dxfId="4">
      <formula>"Unplanned"</formula>
    </cfRule>
  </conditionalFormatting>
  <conditionalFormatting sqref="A5:D14">
    <cfRule type="expression" priority="7" aboveAverage="0" equalAverage="0" bottom="0" percent="0" rank="0" text="" dxfId="5">
      <formula>OR($F5="Planned",$F5="Unplanned")</formula>
    </cfRule>
    <cfRule type="expression" priority="8" aboveAverage="0" equalAverage="0" bottom="0" percent="0" rank="0" text="" dxfId="6">
      <formula>$F5="Ongoing"</formula>
    </cfRule>
  </conditionalFormatting>
  <dataValidations count="1">
    <dataValidation allowBlank="true" errorStyle="stop" operator="between" showDropDown="false" showErrorMessage="true" showInputMessage="true" sqref="F5:F14" type="list">
      <formula1>"Planejado,Em execução,Entregue,Não planejado"</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C1" colorId="64" zoomScale="110" zoomScaleNormal="110" zoomScalePageLayoutView="100" workbookViewId="0">
      <selection pane="topLeft" activeCell="J61" activeCellId="0" sqref="J61"/>
    </sheetView>
  </sheetViews>
  <sheetFormatPr defaultColWidth="8.6171875" defaultRowHeight="14.25" zeroHeight="false" outlineLevelRow="0" outlineLevelCol="0"/>
  <cols>
    <col collapsed="false" customWidth="true" hidden="false" outlineLevel="0" max="1" min="1" style="96" width="5.62"/>
    <col collapsed="false" customWidth="true" hidden="false" outlineLevel="0" max="2" min="2" style="96" width="35.62"/>
    <col collapsed="false" customWidth="true" hidden="false" outlineLevel="0" max="3" min="3" style="96" width="5.38"/>
    <col collapsed="false" customWidth="true" hidden="false" outlineLevel="0" max="4" min="4" style="96" width="13.25"/>
    <col collapsed="false" customWidth="true" hidden="false" outlineLevel="0" max="5" min="5" style="96" width="8.88"/>
    <col collapsed="false" customWidth="true" hidden="false" outlineLevel="0" max="6" min="6" style="96" width="12.5"/>
    <col collapsed="false" customWidth="true" hidden="false" outlineLevel="0" max="7" min="7" style="96" width="9.12"/>
    <col collapsed="false" customWidth="true" hidden="false" outlineLevel="0" max="9" min="8" style="96" width="12.25"/>
    <col collapsed="false" customWidth="true" hidden="false" outlineLevel="0" max="10" min="10" style="96" width="24.25"/>
    <col collapsed="false" customWidth="true" hidden="false" outlineLevel="0" max="11" min="11" style="96" width="27.88"/>
    <col collapsed="false" customWidth="true" hidden="false" outlineLevel="0" max="12" min="12" style="96" width="8.5"/>
    <col collapsed="false" customWidth="true" hidden="false" outlineLevel="0" max="14" min="13" style="96" width="20.5"/>
    <col collapsed="false" customWidth="true" hidden="false" outlineLevel="0" max="256" min="15" style="96" width="8.5"/>
    <col collapsed="false" customWidth="true" hidden="false" outlineLevel="0" max="258" min="257" style="96" width="6.5"/>
    <col collapsed="false" customWidth="true" hidden="false" outlineLevel="0" max="259" min="259" style="96" width="13.88"/>
    <col collapsed="false" customWidth="true" hidden="false" outlineLevel="0" max="260" min="260" style="96" width="9"/>
    <col collapsed="false" customWidth="true" hidden="false" outlineLevel="0" max="261" min="261" style="96" width="13.5"/>
    <col collapsed="false" customWidth="true" hidden="false" outlineLevel="0" max="262" min="262" style="96" width="10"/>
    <col collapsed="false" customWidth="true" hidden="false" outlineLevel="0" max="263" min="263" style="96" width="12.25"/>
    <col collapsed="false" customWidth="true" hidden="false" outlineLevel="0" max="264" min="264" style="96" width="5.88"/>
    <col collapsed="false" customWidth="true" hidden="false" outlineLevel="0" max="265" min="265" style="96" width="24.25"/>
    <col collapsed="false" customWidth="true" hidden="false" outlineLevel="0" max="266" min="266" style="96" width="32.5"/>
    <col collapsed="false" customWidth="true" hidden="false" outlineLevel="0" max="267" min="267" style="96" width="17.62"/>
    <col collapsed="false" customWidth="true" hidden="false" outlineLevel="0" max="268" min="268" style="96" width="8.5"/>
    <col collapsed="false" customWidth="true" hidden="false" outlineLevel="0" max="270" min="269" style="96" width="20.5"/>
    <col collapsed="false" customWidth="true" hidden="false" outlineLevel="0" max="512" min="271" style="96" width="8.5"/>
    <col collapsed="false" customWidth="true" hidden="false" outlineLevel="0" max="514" min="513" style="96" width="6.5"/>
    <col collapsed="false" customWidth="true" hidden="false" outlineLevel="0" max="515" min="515" style="96" width="13.88"/>
    <col collapsed="false" customWidth="true" hidden="false" outlineLevel="0" max="516" min="516" style="96" width="9"/>
    <col collapsed="false" customWidth="true" hidden="false" outlineLevel="0" max="517" min="517" style="96" width="13.5"/>
    <col collapsed="false" customWidth="true" hidden="false" outlineLevel="0" max="518" min="518" style="96" width="10"/>
    <col collapsed="false" customWidth="true" hidden="false" outlineLevel="0" max="519" min="519" style="96" width="12.25"/>
    <col collapsed="false" customWidth="true" hidden="false" outlineLevel="0" max="520" min="520" style="96" width="5.88"/>
    <col collapsed="false" customWidth="true" hidden="false" outlineLevel="0" max="521" min="521" style="96" width="24.25"/>
    <col collapsed="false" customWidth="true" hidden="false" outlineLevel="0" max="522" min="522" style="96" width="32.5"/>
    <col collapsed="false" customWidth="true" hidden="false" outlineLevel="0" max="523" min="523" style="96" width="17.62"/>
    <col collapsed="false" customWidth="true" hidden="false" outlineLevel="0" max="524" min="524" style="96" width="8.5"/>
    <col collapsed="false" customWidth="true" hidden="false" outlineLevel="0" max="526" min="525" style="96" width="20.5"/>
    <col collapsed="false" customWidth="true" hidden="false" outlineLevel="0" max="768" min="527" style="96" width="8.5"/>
    <col collapsed="false" customWidth="true" hidden="false" outlineLevel="0" max="770" min="769" style="96" width="6.5"/>
    <col collapsed="false" customWidth="true" hidden="false" outlineLevel="0" max="771" min="771" style="96" width="13.88"/>
    <col collapsed="false" customWidth="true" hidden="false" outlineLevel="0" max="772" min="772" style="96" width="9"/>
    <col collapsed="false" customWidth="true" hidden="false" outlineLevel="0" max="773" min="773" style="96" width="13.5"/>
    <col collapsed="false" customWidth="true" hidden="false" outlineLevel="0" max="774" min="774" style="96" width="10"/>
    <col collapsed="false" customWidth="true" hidden="false" outlineLevel="0" max="775" min="775" style="96" width="12.25"/>
    <col collapsed="false" customWidth="true" hidden="false" outlineLevel="0" max="776" min="776" style="96" width="5.88"/>
    <col collapsed="false" customWidth="true" hidden="false" outlineLevel="0" max="777" min="777" style="96" width="24.25"/>
    <col collapsed="false" customWidth="true" hidden="false" outlineLevel="0" max="778" min="778" style="96" width="32.5"/>
    <col collapsed="false" customWidth="true" hidden="false" outlineLevel="0" max="779" min="779" style="96" width="17.62"/>
    <col collapsed="false" customWidth="true" hidden="false" outlineLevel="0" max="780" min="780" style="96" width="8.5"/>
    <col collapsed="false" customWidth="true" hidden="false" outlineLevel="0" max="782" min="781" style="96" width="20.5"/>
    <col collapsed="false" customWidth="true" hidden="false" outlineLevel="0" max="1024" min="783" style="96" width="8.5"/>
    <col collapsed="false" customWidth="true" hidden="false" outlineLevel="0" max="1025" min="1025" style="0" width="9"/>
  </cols>
  <sheetData>
    <row r="1" s="97" customFormat="true" ht="21" hidden="false" customHeight="true" outlineLevel="0" collapsed="false">
      <c r="A1" s="55" t="s">
        <v>103</v>
      </c>
      <c r="B1" s="55"/>
      <c r="C1" s="55"/>
      <c r="D1" s="55"/>
      <c r="E1" s="55"/>
      <c r="F1" s="55"/>
      <c r="G1" s="55"/>
      <c r="H1" s="55"/>
      <c r="I1" s="55"/>
      <c r="J1" s="55"/>
      <c r="K1" s="55"/>
    </row>
    <row r="2" customFormat="false" ht="14.25" hidden="true" customHeight="false" outlineLevel="0" collapsed="false"/>
    <row r="3" customFormat="false" ht="14.25" hidden="true" customHeight="false" outlineLevel="0" collapsed="false">
      <c r="D3" s="98" t="s">
        <v>104</v>
      </c>
    </row>
    <row r="4" customFormat="false" ht="19.4" hidden="true" customHeight="false" outlineLevel="0" collapsed="false">
      <c r="D4" s="99" t="s">
        <v>105</v>
      </c>
    </row>
    <row r="5" customFormat="false" ht="14.25" hidden="true" customHeight="false" outlineLevel="0" collapsed="false">
      <c r="D5" s="99" t="s">
        <v>106</v>
      </c>
    </row>
    <row r="6" customFormat="false" ht="14.25" hidden="true" customHeight="false" outlineLevel="0" collapsed="false">
      <c r="D6" s="99" t="s">
        <v>107</v>
      </c>
    </row>
    <row r="7" customFormat="false" ht="19.4" hidden="true" customHeight="false" outlineLevel="0" collapsed="false">
      <c r="D7" s="99" t="s">
        <v>108</v>
      </c>
    </row>
    <row r="8" customFormat="false" ht="14.25" hidden="true" customHeight="false" outlineLevel="0" collapsed="false">
      <c r="D8" s="99" t="s">
        <v>109</v>
      </c>
    </row>
    <row r="9" customFormat="false" ht="14.25" hidden="true" customHeight="false" outlineLevel="0" collapsed="false">
      <c r="D9" s="99" t="s">
        <v>110</v>
      </c>
    </row>
    <row r="10" customFormat="false" ht="14.25" hidden="true" customHeight="false" outlineLevel="0" collapsed="false">
      <c r="D10" s="99" t="s">
        <v>111</v>
      </c>
    </row>
    <row r="11" customFormat="false" ht="19.4" hidden="true" customHeight="false" outlineLevel="0" collapsed="false">
      <c r="D11" s="99" t="s">
        <v>112</v>
      </c>
    </row>
    <row r="12" customFormat="false" ht="14.25" hidden="true" customHeight="false" outlineLevel="0" collapsed="false">
      <c r="D12" s="99" t="s">
        <v>113</v>
      </c>
    </row>
    <row r="13" customFormat="false" ht="19.4" hidden="true" customHeight="false" outlineLevel="0" collapsed="false">
      <c r="D13" s="99" t="s">
        <v>114</v>
      </c>
    </row>
    <row r="14" customFormat="false" ht="19.4" hidden="true" customHeight="false" outlineLevel="0" collapsed="false">
      <c r="D14" s="98" t="s">
        <v>115</v>
      </c>
    </row>
    <row r="15" customFormat="false" ht="14.25" hidden="true" customHeight="false" outlineLevel="0" collapsed="false">
      <c r="D15" s="99" t="s">
        <v>116</v>
      </c>
    </row>
    <row r="16" customFormat="false" ht="14.25" hidden="true" customHeight="false" outlineLevel="0" collapsed="false">
      <c r="D16" s="99" t="s">
        <v>117</v>
      </c>
    </row>
    <row r="17" customFormat="false" ht="14.25" hidden="true" customHeight="false" outlineLevel="0" collapsed="false">
      <c r="D17" s="99" t="s">
        <v>118</v>
      </c>
    </row>
    <row r="18" customFormat="false" ht="14.25" hidden="true" customHeight="false" outlineLevel="0" collapsed="false">
      <c r="D18" s="98" t="s">
        <v>119</v>
      </c>
    </row>
    <row r="19" customFormat="false" ht="14.25" hidden="true" customHeight="false" outlineLevel="0" collapsed="false">
      <c r="D19" s="99" t="s">
        <v>120</v>
      </c>
    </row>
    <row r="20" customFormat="false" ht="14.25" hidden="true" customHeight="false" outlineLevel="0" collapsed="false">
      <c r="D20" s="99" t="s">
        <v>121</v>
      </c>
    </row>
    <row r="21" customFormat="false" ht="14.25" hidden="true" customHeight="false" outlineLevel="0" collapsed="false">
      <c r="D21" s="99" t="s">
        <v>122</v>
      </c>
    </row>
    <row r="22" customFormat="false" ht="14.25" hidden="true" customHeight="false" outlineLevel="0" collapsed="false">
      <c r="D22" s="98" t="s">
        <v>123</v>
      </c>
    </row>
    <row r="23" customFormat="false" ht="14.25" hidden="true" customHeight="false" outlineLevel="0" collapsed="false">
      <c r="D23" s="99" t="s">
        <v>124</v>
      </c>
    </row>
    <row r="24" customFormat="false" ht="14.25" hidden="true" customHeight="false" outlineLevel="0" collapsed="false">
      <c r="D24" s="99" t="s">
        <v>125</v>
      </c>
    </row>
    <row r="25" customFormat="false" ht="14.25" hidden="true" customHeight="false" outlineLevel="0" collapsed="false">
      <c r="D25" s="99" t="s">
        <v>126</v>
      </c>
    </row>
    <row r="26" customFormat="false" ht="14.25" hidden="true" customHeight="false" outlineLevel="0" collapsed="false">
      <c r="D26" s="99" t="s">
        <v>127</v>
      </c>
    </row>
    <row r="27" customFormat="false" ht="14.25" hidden="true" customHeight="false" outlineLevel="0" collapsed="false">
      <c r="D27" s="98" t="s">
        <v>128</v>
      </c>
    </row>
    <row r="28" customFormat="false" ht="14.25" hidden="true" customHeight="false" outlineLevel="0" collapsed="false">
      <c r="D28" s="99" t="s">
        <v>129</v>
      </c>
    </row>
    <row r="29" customFormat="false" ht="14.25" hidden="true" customHeight="false" outlineLevel="0" collapsed="false">
      <c r="D29" s="99" t="s">
        <v>130</v>
      </c>
    </row>
    <row r="30" customFormat="false" ht="14.25" hidden="true" customHeight="false" outlineLevel="0" collapsed="false">
      <c r="D30" s="99" t="s">
        <v>131</v>
      </c>
    </row>
    <row r="31" s="100" customFormat="true" ht="14.25" hidden="true" customHeight="false" outlineLevel="0" collapsed="false">
      <c r="D31" s="101" t="s">
        <v>132</v>
      </c>
    </row>
    <row r="32" customFormat="false" ht="14.25" hidden="true" customHeight="false" outlineLevel="0" collapsed="false">
      <c r="D32" s="102" t="s">
        <v>133</v>
      </c>
    </row>
    <row r="33" customFormat="false" ht="22.5" hidden="true" customHeight="true" outlineLevel="0" collapsed="false">
      <c r="D33" s="103" t="s">
        <v>134</v>
      </c>
      <c r="E33" s="103"/>
    </row>
    <row r="34" customFormat="false" ht="14.25" hidden="true" customHeight="false" outlineLevel="0" collapsed="false">
      <c r="D34" s="99" t="n">
        <v>4290</v>
      </c>
      <c r="E34" s="99" t="s">
        <v>135</v>
      </c>
    </row>
    <row r="35" customFormat="false" ht="19.4" hidden="true" customHeight="false" outlineLevel="0" collapsed="false">
      <c r="D35" s="99" t="n">
        <v>5082</v>
      </c>
      <c r="E35" s="99" t="s">
        <v>136</v>
      </c>
    </row>
    <row r="36" customFormat="false" ht="19.4" hidden="true" customHeight="false" outlineLevel="0" collapsed="false">
      <c r="D36" s="99" t="n">
        <v>4356</v>
      </c>
      <c r="E36" s="99" t="s">
        <v>137</v>
      </c>
    </row>
    <row r="37" customFormat="false" ht="19.4" hidden="true" customHeight="false" outlineLevel="0" collapsed="false">
      <c r="D37" s="99" t="n">
        <v>5929</v>
      </c>
      <c r="E37" s="99" t="s">
        <v>138</v>
      </c>
    </row>
    <row r="38" customFormat="false" ht="14.25" hidden="true" customHeight="false" outlineLevel="0" collapsed="false">
      <c r="D38" s="99" t="n">
        <v>5005</v>
      </c>
      <c r="E38" s="99" t="s">
        <v>139</v>
      </c>
    </row>
    <row r="39" customFormat="false" ht="14.25" hidden="true" customHeight="false" outlineLevel="0" collapsed="false">
      <c r="D39" s="99" t="n">
        <v>4225</v>
      </c>
      <c r="E39" s="99" t="s">
        <v>140</v>
      </c>
    </row>
    <row r="40" customFormat="false" ht="8.25" hidden="false" customHeight="true" outlineLevel="0" collapsed="false"/>
    <row r="41" s="97" customFormat="true" ht="12.75" hidden="false" customHeight="true" outlineLevel="0" collapsed="false">
      <c r="A41" s="104" t="s">
        <v>141</v>
      </c>
      <c r="B41" s="104"/>
      <c r="C41" s="104"/>
      <c r="D41" s="104"/>
      <c r="E41" s="104"/>
      <c r="F41" s="104"/>
      <c r="G41" s="104"/>
      <c r="H41" s="104"/>
      <c r="I41" s="104"/>
      <c r="J41" s="104"/>
      <c r="K41" s="104"/>
    </row>
    <row r="42" s="97" customFormat="true" ht="12.75" hidden="false" customHeight="true" outlineLevel="0" collapsed="false">
      <c r="A42" s="105" t="s">
        <v>142</v>
      </c>
      <c r="B42" s="105"/>
      <c r="C42" s="105"/>
      <c r="D42" s="105"/>
      <c r="E42" s="105"/>
      <c r="F42" s="105"/>
      <c r="G42" s="105"/>
      <c r="H42" s="105"/>
      <c r="I42" s="105"/>
      <c r="J42" s="105"/>
      <c r="K42" s="105"/>
    </row>
    <row r="43" s="97" customFormat="true" ht="15" hidden="false" customHeight="true" outlineLevel="0" collapsed="false">
      <c r="A43" s="106" t="s">
        <v>143</v>
      </c>
      <c r="B43" s="106"/>
      <c r="C43" s="106"/>
      <c r="D43" s="106"/>
      <c r="E43" s="106"/>
      <c r="F43" s="106"/>
      <c r="G43" s="106"/>
      <c r="H43" s="106"/>
      <c r="I43" s="106"/>
      <c r="J43" s="106"/>
      <c r="K43" s="106"/>
    </row>
    <row r="44" s="97" customFormat="true" ht="15.75" hidden="false" customHeight="true" outlineLevel="0" collapsed="false">
      <c r="A44" s="107" t="s">
        <v>144</v>
      </c>
      <c r="B44" s="107"/>
      <c r="C44" s="107"/>
      <c r="D44" s="107"/>
      <c r="E44" s="107"/>
      <c r="F44" s="107"/>
      <c r="G44" s="107"/>
      <c r="H44" s="107"/>
      <c r="I44" s="107"/>
      <c r="J44" s="107"/>
      <c r="K44" s="107"/>
    </row>
    <row r="45" customFormat="false" ht="9" hidden="false" customHeight="true" outlineLevel="0" collapsed="false"/>
    <row r="46" customFormat="false" ht="14.25" hidden="false" customHeight="false" outlineLevel="0" collapsed="false">
      <c r="A46" s="108" t="s">
        <v>145</v>
      </c>
      <c r="B46" s="108"/>
      <c r="C46" s="108"/>
      <c r="D46" s="108"/>
      <c r="E46" s="108"/>
      <c r="F46" s="108"/>
      <c r="G46" s="108"/>
      <c r="H46" s="108"/>
      <c r="I46" s="108"/>
      <c r="J46" s="108"/>
      <c r="K46" s="108"/>
    </row>
    <row r="47" s="112" customFormat="true" ht="12.75" hidden="false" customHeight="true" outlineLevel="0" collapsed="false">
      <c r="A47" s="109" t="s">
        <v>146</v>
      </c>
      <c r="B47" s="110"/>
      <c r="C47" s="111" t="s">
        <v>147</v>
      </c>
      <c r="D47" s="111"/>
      <c r="E47" s="111"/>
      <c r="F47" s="111"/>
      <c r="G47" s="111"/>
      <c r="H47" s="111"/>
      <c r="I47" s="111"/>
      <c r="J47" s="111"/>
      <c r="K47" s="111"/>
    </row>
    <row r="48" s="116" customFormat="true" ht="11.25" hidden="false" customHeight="true" outlineLevel="0" collapsed="false">
      <c r="A48" s="113"/>
      <c r="B48" s="114" t="s">
        <v>148</v>
      </c>
      <c r="C48" s="114" t="s">
        <v>149</v>
      </c>
      <c r="D48" s="114" t="s">
        <v>150</v>
      </c>
      <c r="E48" s="114" t="s">
        <v>119</v>
      </c>
      <c r="F48" s="114" t="s">
        <v>151</v>
      </c>
      <c r="G48" s="114" t="s">
        <v>123</v>
      </c>
      <c r="H48" s="115" t="s">
        <v>152</v>
      </c>
      <c r="I48" s="115"/>
      <c r="J48" s="115"/>
      <c r="K48" s="115"/>
    </row>
    <row r="49" s="116" customFormat="true" ht="11.25" hidden="false" customHeight="true" outlineLevel="0" collapsed="false">
      <c r="A49" s="113"/>
      <c r="B49" s="114"/>
      <c r="C49" s="114"/>
      <c r="D49" s="114"/>
      <c r="E49" s="114"/>
      <c r="F49" s="114"/>
      <c r="G49" s="114"/>
      <c r="H49" s="114" t="s">
        <v>153</v>
      </c>
      <c r="I49" s="114"/>
      <c r="J49" s="114" t="s">
        <v>154</v>
      </c>
      <c r="K49" s="114" t="s">
        <v>155</v>
      </c>
    </row>
    <row r="50" s="116" customFormat="true" ht="33.75" hidden="false" customHeight="true" outlineLevel="0" collapsed="false">
      <c r="A50" s="117" t="n">
        <v>1</v>
      </c>
      <c r="B50" s="118" t="s">
        <v>156</v>
      </c>
      <c r="C50" s="119" t="n">
        <v>45911</v>
      </c>
      <c r="D50" s="120" t="s">
        <v>117</v>
      </c>
      <c r="E50" s="120" t="s">
        <v>121</v>
      </c>
      <c r="F50" s="121" t="str">
        <f aca="false">IF(OR((CODE($D50)*CODE($E50))=$D$36,(CODE($D50)*CODE($E50))=$D$35),$D$15,IF(OR((CODE($D50)*CODE($E50))=$D$34,(CODE($D50)*CODE($E50))=$D$37),$D$16,IF(OR((CODE($D50)*CODE($E50))=$D$38,(CODE($D50)*CODE($E50))=$D$39),$D$17,0)))</f>
        <v>Média</v>
      </c>
      <c r="G50" s="120" t="s">
        <v>125</v>
      </c>
      <c r="H50" s="122"/>
      <c r="I50" s="122"/>
      <c r="J50" s="123" t="s">
        <v>157</v>
      </c>
      <c r="K50" s="123" t="s">
        <v>158</v>
      </c>
    </row>
    <row r="51" s="116" customFormat="true" ht="11.25" hidden="false" customHeight="true" outlineLevel="0" collapsed="false">
      <c r="A51" s="117"/>
      <c r="B51" s="118"/>
      <c r="C51" s="119"/>
      <c r="D51" s="120" t="s">
        <v>116</v>
      </c>
      <c r="E51" s="120"/>
      <c r="F51" s="121" t="n">
        <f aca="false">IF(OR((CODE($D51)*CODE($E51))=$D$36,(CODE($D51)*CODE($E51))=$D$35),$D$15,IF(OR((CODE($D51)*CODE($E51))=$D$34,(CODE($D51)*CODE($E51))=$D$37),$D$16,IF(OR((CODE($D51)*CODE($E51))=$D$38,(CODE($D51)*CODE($E51))=$D$39),$D$17,0)))</f>
        <v>0</v>
      </c>
      <c r="G51" s="120"/>
      <c r="H51" s="124"/>
      <c r="I51" s="125"/>
      <c r="J51" s="123"/>
      <c r="K51" s="123"/>
    </row>
    <row r="52" s="116" customFormat="true" ht="11.25" hidden="false" customHeight="true" outlineLevel="0" collapsed="false">
      <c r="A52" s="117"/>
      <c r="B52" s="118"/>
      <c r="C52" s="119"/>
      <c r="D52" s="120"/>
      <c r="E52" s="120"/>
      <c r="F52" s="121" t="n">
        <f aca="false">IF(OR((CODE($D52)*CODE($E52))=$D$36,(CODE($D52)*CODE($E52))=$D$35),$D$15,IF(OR((CODE($D52)*CODE($E52))=$D$34,(CODE($D52)*CODE($E52))=$D$37),$D$16,IF(OR((CODE($D52)*CODE($E52))=$D$38,(CODE($D52)*CODE($E52))=$D$39),$D$17,0)))</f>
        <v>0</v>
      </c>
      <c r="G52" s="120"/>
      <c r="H52" s="124"/>
      <c r="I52" s="125"/>
      <c r="J52" s="123"/>
      <c r="K52" s="123"/>
    </row>
    <row r="53" s="116" customFormat="true" ht="11.25" hidden="false" customHeight="true" outlineLevel="0" collapsed="false">
      <c r="A53" s="117"/>
      <c r="B53" s="118"/>
      <c r="C53" s="119"/>
      <c r="D53" s="120"/>
      <c r="E53" s="120"/>
      <c r="F53" s="121" t="n">
        <f aca="false">IF(OR((CODE($D53)*CODE($E53))=$D$36,(CODE($D53)*CODE($E53))=$D$35),$D$15,IF(OR((CODE($D53)*CODE($E53))=$D$34,(CODE($D53)*CODE($E53))=$D$37),$D$16,IF(OR((CODE($D53)*CODE($E53))=$D$38,(CODE($D53)*CODE($E53))=$D$39),$D$17,0)))</f>
        <v>0</v>
      </c>
      <c r="G53" s="120"/>
      <c r="H53" s="124"/>
      <c r="I53" s="125"/>
      <c r="J53" s="123"/>
      <c r="K53" s="123"/>
    </row>
    <row r="54" s="116" customFormat="true" ht="11.25" hidden="false" customHeight="true" outlineLevel="0" collapsed="false">
      <c r="A54" s="117"/>
      <c r="B54" s="118"/>
      <c r="C54" s="119"/>
      <c r="D54" s="120"/>
      <c r="E54" s="120"/>
      <c r="F54" s="121" t="n">
        <f aca="false">IF(OR((CODE($D54)*CODE($E54))=$D$36,(CODE($D54)*CODE($E54))=$D$35),$D$15,IF(OR((CODE($D54)*CODE($E54))=$D$34,(CODE($D54)*CODE($E54))=$D$37),$D$16,IF(OR((CODE($D54)*CODE($E54))=$D$38,(CODE($D54)*CODE($E54))=$D$39),$D$17,0)))</f>
        <v>0</v>
      </c>
      <c r="G54" s="120"/>
      <c r="H54" s="124"/>
      <c r="I54" s="125"/>
      <c r="J54" s="123"/>
      <c r="K54" s="123"/>
    </row>
    <row r="55" s="116" customFormat="true" ht="11.25" hidden="false" customHeight="true" outlineLevel="0" collapsed="false">
      <c r="A55" s="117"/>
      <c r="B55" s="118"/>
      <c r="C55" s="119"/>
      <c r="D55" s="120"/>
      <c r="E55" s="120"/>
      <c r="F55" s="121" t="n">
        <f aca="false">IF(OR((CODE($D55)*CODE($E55))=$D$36,(CODE($D55)*CODE($E55))=$D$35),$D$15,IF(OR((CODE($D55)*CODE($E55))=$D$34,(CODE($D55)*CODE($E55))=$D$37),$D$16,IF(OR((CODE($D55)*CODE($E55))=$D$38,(CODE($D55)*CODE($E55))=$D$39),$D$17,0)))</f>
        <v>0</v>
      </c>
      <c r="G55" s="120"/>
      <c r="H55" s="124"/>
      <c r="I55" s="125"/>
      <c r="J55" s="123"/>
      <c r="K55" s="123"/>
    </row>
    <row r="56" s="116" customFormat="true" ht="11.25" hidden="false" customHeight="true" outlineLevel="0" collapsed="false">
      <c r="A56" s="117"/>
      <c r="B56" s="118"/>
      <c r="C56" s="119"/>
      <c r="D56" s="120"/>
      <c r="E56" s="120"/>
      <c r="F56" s="121" t="n">
        <f aca="false">IF(OR((CODE($D56)*CODE($E56))=$D$36,(CODE($D56)*CODE($E56))=$D$35),$D$15,IF(OR((CODE($D56)*CODE($E56))=$D$34,(CODE($D56)*CODE($E56))=$D$37),$D$16,IF(OR((CODE($D56)*CODE($E56))=$D$38,(CODE($D56)*CODE($E56))=$D$39),$D$17,0)))</f>
        <v>0</v>
      </c>
      <c r="G56" s="120"/>
      <c r="H56" s="124"/>
      <c r="I56" s="125"/>
      <c r="J56" s="123"/>
      <c r="K56" s="123"/>
    </row>
    <row r="57" s="116" customFormat="true" ht="11.25" hidden="false" customHeight="true" outlineLevel="0" collapsed="false">
      <c r="A57" s="117"/>
      <c r="B57" s="118"/>
      <c r="C57" s="119"/>
      <c r="D57" s="120"/>
      <c r="E57" s="120"/>
      <c r="F57" s="121" t="n">
        <f aca="false">IF(OR((CODE($D57)*CODE($E57))=$D$36,(CODE($D57)*CODE($E57))=$D$35),$D$15,IF(OR((CODE($D57)*CODE($E57))=$D$34,(CODE($D57)*CODE($E57))=$D$37),$D$16,IF(OR((CODE($D57)*CODE($E57))=$D$38,(CODE($D57)*CODE($E57))=$D$39),$D$17,0)))</f>
        <v>0</v>
      </c>
      <c r="G57" s="120"/>
      <c r="H57" s="124"/>
      <c r="I57" s="125"/>
      <c r="J57" s="123"/>
      <c r="K57" s="123"/>
    </row>
    <row r="58" s="116" customFormat="true" ht="11.25" hidden="false" customHeight="true" outlineLevel="0" collapsed="false">
      <c r="A58" s="117"/>
      <c r="B58" s="118"/>
      <c r="C58" s="119"/>
      <c r="D58" s="120"/>
      <c r="E58" s="120"/>
      <c r="F58" s="121" t="n">
        <f aca="false">IF(OR((CODE($D58)*CODE($E58))=$D$36,(CODE($D58)*CODE($E58))=$D$35),$D$15,IF(OR((CODE($D58)*CODE($E58))=$D$34,(CODE($D58)*CODE($E58))=$D$37),$D$16,IF(OR((CODE($D58)*CODE($E58))=$D$38,(CODE($D58)*CODE($E58))=$D$39),$D$17,0)))</f>
        <v>0</v>
      </c>
      <c r="G58" s="120"/>
      <c r="H58" s="124"/>
      <c r="I58" s="125"/>
      <c r="J58" s="123"/>
      <c r="K58" s="123"/>
    </row>
    <row r="59" s="116" customFormat="true" ht="11.25" hidden="false" customHeight="true" outlineLevel="0" collapsed="false">
      <c r="A59" s="117"/>
      <c r="B59" s="118"/>
      <c r="C59" s="119"/>
      <c r="D59" s="120"/>
      <c r="E59" s="120"/>
      <c r="F59" s="121" t="n">
        <f aca="false">IF(OR((CODE($D59)*CODE($E59))=$D$36,(CODE($D59)*CODE($E59))=$D$35),$D$15,IF(OR((CODE($D59)*CODE($E59))=$D$34,(CODE($D59)*CODE($E59))=$D$37),$D$16,IF(OR((CODE($D59)*CODE($E59))=$D$38,(CODE($D59)*CODE($E59))=$D$39),$D$17,0)))</f>
        <v>0</v>
      </c>
      <c r="G59" s="120"/>
      <c r="H59" s="122"/>
      <c r="I59" s="122"/>
      <c r="J59" s="123"/>
      <c r="K59" s="123"/>
    </row>
    <row r="60" s="116" customFormat="true" ht="11.25" hidden="false" customHeight="true" outlineLevel="0" collapsed="false">
      <c r="A60" s="117"/>
      <c r="B60" s="118"/>
      <c r="C60" s="119"/>
      <c r="D60" s="120"/>
      <c r="E60" s="120"/>
      <c r="F60" s="121" t="n">
        <f aca="false">IF(OR((CODE($D60)*CODE($E60))=$D$36,(CODE($D60)*CODE($E60))=$D$35),$D$15,IF(OR((CODE($D60)*CODE($E60))=$D$34,(CODE($D60)*CODE($E60))=$D$37),$D$16,IF(OR((CODE($D60)*CODE($E60))=$D$38,(CODE($D60)*CODE($E60))=$D$39),$D$17,0)))</f>
        <v>0</v>
      </c>
      <c r="G60" s="120"/>
      <c r="H60" s="122"/>
      <c r="I60" s="122"/>
      <c r="J60" s="123"/>
      <c r="K60" s="123"/>
    </row>
  </sheetData>
  <mergeCells count="20">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G48:G49"/>
    <mergeCell ref="H48:K48"/>
    <mergeCell ref="H49:I49"/>
    <mergeCell ref="H50:I50"/>
    <mergeCell ref="H59:I59"/>
    <mergeCell ref="H60:I60"/>
  </mergeCells>
  <conditionalFormatting sqref="F50:F60">
    <cfRule type="cellIs" priority="2" operator="equal" aboveAverage="0" equalAverage="0" bottom="0" percent="0" rank="0" text="" dxfId="7">
      <formula>$D$15</formula>
    </cfRule>
    <cfRule type="cellIs" priority="3" operator="equal" aboveAverage="0" equalAverage="0" bottom="0" percent="0" rank="0" text="" dxfId="8">
      <formula>$D$16</formula>
    </cfRule>
    <cfRule type="cellIs" priority="4" operator="equal" aboveAverage="0" equalAverage="0" bottom="0" percent="0" rank="0" text="" dxfId="9">
      <formula>$D$17</formula>
    </cfRule>
  </conditionalFormatting>
  <dataValidations count="3">
    <dataValidation allowBlank="true" errorStyle="stop" operator="between" showDropDown="false" showErrorMessage="true" showInputMessage="true" sqref="D50:D60 IY50:IY60 SU50:SU60 ACQ50:ACQ60" type="list">
      <formula1>$D$15:$D$17</formula1>
      <formula2>0</formula2>
    </dataValidation>
    <dataValidation allowBlank="true" errorStyle="stop" operator="between" showDropDown="false" showErrorMessage="true" showInputMessage="true" sqref="E50:E60 IZ50:IZ60 SV50:SV60 ACR50:ACR60" type="list">
      <formula1>$D$19:$D$21</formula1>
      <formula2>0</formula2>
    </dataValidation>
    <dataValidation allowBlank="true" errorStyle="stop" operator="between" showDropDown="false" showErrorMessage="true" showInputMessage="true" sqref="G50:G60 JB50:JB60 SX50:SX60 ACT50:ACT60" type="list">
      <formula1>$D$23:$D$26</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77"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7" activeCellId="0" sqref="K27"/>
    </sheetView>
  </sheetViews>
  <sheetFormatPr defaultColWidth="8.6171875" defaultRowHeight="15" zeroHeight="false" outlineLevelRow="0" outlineLevelCol="0"/>
  <cols>
    <col collapsed="false" customWidth="true" hidden="false" outlineLevel="0" max="1" min="1" style="1" width="14.12"/>
    <col collapsed="false" customWidth="true" hidden="false" outlineLevel="0" max="2" min="2" style="1" width="11.75"/>
    <col collapsed="false" customWidth="true" hidden="false" outlineLevel="0" max="3" min="3" style="1" width="0.88"/>
    <col collapsed="false" customWidth="true" hidden="false" outlineLevel="0" max="4" min="4" style="1" width="28.12"/>
    <col collapsed="false" customWidth="true" hidden="false" outlineLevel="0" max="5" min="5" style="1" width="11.75"/>
    <col collapsed="false" customWidth="true" hidden="false" outlineLevel="0" max="6" min="6" style="1" width="1.12"/>
    <col collapsed="false" customWidth="true" hidden="false" outlineLevel="0" max="7" min="7" style="1" width="12.37"/>
    <col collapsed="false" customWidth="true" hidden="false" outlineLevel="0" max="8" min="8" style="1" width="7"/>
    <col collapsed="false" customWidth="true" hidden="false" outlineLevel="0" max="9" min="9" style="1" width="5.5"/>
    <col collapsed="false" customWidth="true" hidden="false" outlineLevel="0" max="10" min="10" style="1" width="8.5"/>
    <col collapsed="false" customWidth="true" hidden="false" outlineLevel="0" max="11" min="11" style="1" width="10.5"/>
    <col collapsed="false" customWidth="true" hidden="false" outlineLevel="0" max="12" min="12" style="1" width="1.38"/>
    <col collapsed="false" customWidth="true" hidden="false" outlineLevel="0" max="13" min="13" style="1" width="37.38"/>
    <col collapsed="false" customWidth="true" hidden="false" outlineLevel="0" max="14" min="14" style="1" width="10"/>
    <col collapsed="false" customWidth="true" hidden="false" outlineLevel="0" max="1024" min="15" style="1" width="8.12"/>
    <col collapsed="false" customWidth="true" hidden="false" outlineLevel="0" max="1025" min="1025" style="0" width="9"/>
  </cols>
  <sheetData>
    <row r="1" s="97" customFormat="true" ht="21" hidden="false" customHeight="true" outlineLevel="0" collapsed="false">
      <c r="A1" s="126" t="s">
        <v>159</v>
      </c>
      <c r="B1" s="126"/>
      <c r="C1" s="126"/>
      <c r="D1" s="126"/>
      <c r="E1" s="126"/>
      <c r="F1" s="126"/>
      <c r="G1" s="126"/>
      <c r="H1" s="126"/>
      <c r="I1" s="126"/>
      <c r="J1" s="126"/>
      <c r="K1" s="126"/>
      <c r="L1" s="126"/>
      <c r="M1" s="126"/>
      <c r="N1" s="126"/>
    </row>
    <row r="2" s="128" customFormat="true" ht="12.75" hidden="false" customHeight="true" outlineLevel="0" collapsed="false">
      <c r="A2" s="127" t="s">
        <v>141</v>
      </c>
      <c r="B2" s="127"/>
      <c r="C2" s="127"/>
      <c r="D2" s="127"/>
      <c r="E2" s="127"/>
      <c r="F2" s="127"/>
      <c r="G2" s="127"/>
      <c r="H2" s="127"/>
      <c r="I2" s="127"/>
      <c r="J2" s="127"/>
      <c r="K2" s="127"/>
      <c r="L2" s="127"/>
      <c r="M2" s="127"/>
      <c r="N2" s="127"/>
    </row>
    <row r="3" s="128" customFormat="true" ht="15" hidden="false" customHeight="true" outlineLevel="0" collapsed="false">
      <c r="A3" s="129" t="s">
        <v>160</v>
      </c>
      <c r="B3" s="129"/>
      <c r="C3" s="129"/>
      <c r="D3" s="129"/>
      <c r="E3" s="129"/>
      <c r="F3" s="129"/>
      <c r="G3" s="129"/>
      <c r="H3" s="129"/>
      <c r="I3" s="129"/>
      <c r="J3" s="129"/>
      <c r="K3" s="129"/>
      <c r="L3" s="129"/>
      <c r="M3" s="129"/>
      <c r="N3" s="129"/>
    </row>
    <row r="4" s="128" customFormat="true" ht="15" hidden="false" customHeight="true" outlineLevel="0" collapsed="false">
      <c r="A4" s="130" t="s">
        <v>161</v>
      </c>
      <c r="B4" s="130"/>
      <c r="C4" s="130"/>
      <c r="D4" s="130"/>
      <c r="E4" s="130"/>
      <c r="F4" s="130"/>
      <c r="G4" s="130"/>
      <c r="H4" s="130"/>
      <c r="I4" s="130"/>
      <c r="J4" s="130"/>
      <c r="K4" s="130"/>
      <c r="L4" s="130"/>
      <c r="M4" s="130"/>
      <c r="N4" s="130"/>
    </row>
    <row r="5" s="128" customFormat="true" ht="15.75" hidden="false" customHeight="true" outlineLevel="0" collapsed="false">
      <c r="A5" s="131" t="s">
        <v>162</v>
      </c>
      <c r="B5" s="131"/>
      <c r="C5" s="131"/>
      <c r="D5" s="131"/>
      <c r="E5" s="131"/>
      <c r="F5" s="131"/>
      <c r="G5" s="131"/>
      <c r="H5" s="131"/>
      <c r="I5" s="131"/>
      <c r="J5" s="131"/>
      <c r="K5" s="131"/>
      <c r="L5" s="131"/>
      <c r="M5" s="131"/>
      <c r="N5" s="131"/>
    </row>
    <row r="6" s="7" customFormat="true" ht="20.25" hidden="false" customHeight="true" outlineLevel="0" collapsed="false"/>
    <row r="7" s="7" customFormat="true" ht="12" hidden="false" customHeight="true" outlineLevel="0" collapsed="false">
      <c r="A7" s="132" t="s">
        <v>163</v>
      </c>
      <c r="B7" s="132"/>
      <c r="D7" s="132" t="s">
        <v>164</v>
      </c>
      <c r="E7" s="132"/>
      <c r="G7" s="132" t="s">
        <v>165</v>
      </c>
      <c r="H7" s="132"/>
      <c r="I7" s="132"/>
      <c r="J7" s="132"/>
      <c r="K7" s="132"/>
      <c r="M7" s="132" t="s">
        <v>166</v>
      </c>
      <c r="N7" s="132"/>
    </row>
    <row r="8" s="7" customFormat="true" ht="17.25" hidden="false" customHeight="true" outlineLevel="0" collapsed="false">
      <c r="A8" s="133" t="s">
        <v>167</v>
      </c>
      <c r="B8" s="134" t="s">
        <v>168</v>
      </c>
      <c r="D8" s="133" t="s">
        <v>169</v>
      </c>
      <c r="E8" s="134" t="s">
        <v>168</v>
      </c>
      <c r="G8" s="133" t="s">
        <v>170</v>
      </c>
      <c r="H8" s="133" t="s">
        <v>171</v>
      </c>
      <c r="I8" s="133" t="s">
        <v>117</v>
      </c>
      <c r="J8" s="134" t="s">
        <v>172</v>
      </c>
      <c r="K8" s="134" t="s">
        <v>173</v>
      </c>
      <c r="M8" s="134" t="s">
        <v>174</v>
      </c>
      <c r="N8" s="134" t="s">
        <v>175</v>
      </c>
    </row>
    <row r="9" s="7" customFormat="true" ht="15" hidden="false" customHeight="false" outlineLevel="0" collapsed="false">
      <c r="A9" s="129" t="s">
        <v>176</v>
      </c>
      <c r="B9" s="130" t="s">
        <v>171</v>
      </c>
      <c r="D9" s="129" t="s">
        <v>177</v>
      </c>
      <c r="E9" s="130" t="s">
        <v>171</v>
      </c>
      <c r="G9" s="133" t="s">
        <v>178</v>
      </c>
      <c r="H9" s="129" t="n">
        <v>2</v>
      </c>
      <c r="I9" s="129" t="n">
        <v>0</v>
      </c>
      <c r="J9" s="129" t="n">
        <v>0</v>
      </c>
      <c r="K9" s="134" t="n">
        <f aca="false">(H9*4)+(I9*6)+(J9*8)</f>
        <v>8</v>
      </c>
      <c r="M9" s="135" t="s">
        <v>179</v>
      </c>
      <c r="N9" s="136"/>
    </row>
    <row r="10" s="7" customFormat="true" ht="15" hidden="false" customHeight="false" outlineLevel="0" collapsed="false">
      <c r="A10" s="129" t="s">
        <v>180</v>
      </c>
      <c r="B10" s="130" t="s">
        <v>171</v>
      </c>
      <c r="D10" s="129"/>
      <c r="E10" s="130"/>
      <c r="G10" s="133" t="s">
        <v>181</v>
      </c>
      <c r="H10" s="129"/>
      <c r="I10" s="129"/>
      <c r="J10" s="129"/>
      <c r="K10" s="134" t="n">
        <f aca="false">(H10*3)+(I10*4)+(J10*6)</f>
        <v>0</v>
      </c>
      <c r="M10" s="135" t="s">
        <v>182</v>
      </c>
      <c r="N10" s="136"/>
    </row>
    <row r="11" s="7" customFormat="true" ht="12" hidden="false" customHeight="true" outlineLevel="0" collapsed="false">
      <c r="A11" s="129"/>
      <c r="B11" s="130"/>
      <c r="D11" s="129"/>
      <c r="E11" s="130"/>
      <c r="G11" s="132" t="s">
        <v>183</v>
      </c>
      <c r="H11" s="132"/>
      <c r="I11" s="132"/>
      <c r="J11" s="132"/>
      <c r="K11" s="132"/>
      <c r="M11" s="135" t="s">
        <v>184</v>
      </c>
      <c r="N11" s="136"/>
    </row>
    <row r="12" s="7" customFormat="true" ht="15" hidden="false" customHeight="false" outlineLevel="0" collapsed="false">
      <c r="A12" s="129"/>
      <c r="B12" s="130"/>
      <c r="D12" s="129"/>
      <c r="E12" s="130"/>
      <c r="G12" s="133" t="s">
        <v>170</v>
      </c>
      <c r="H12" s="133" t="s">
        <v>171</v>
      </c>
      <c r="I12" s="133" t="s">
        <v>117</v>
      </c>
      <c r="J12" s="134" t="s">
        <v>172</v>
      </c>
      <c r="K12" s="134" t="s">
        <v>173</v>
      </c>
      <c r="M12" s="135" t="s">
        <v>185</v>
      </c>
      <c r="N12" s="136"/>
    </row>
    <row r="13" s="7" customFormat="true" ht="15" hidden="false" customHeight="false" outlineLevel="0" collapsed="false">
      <c r="A13" s="129"/>
      <c r="B13" s="130"/>
      <c r="D13" s="129"/>
      <c r="E13" s="130"/>
      <c r="G13" s="133" t="s">
        <v>186</v>
      </c>
      <c r="H13" s="129" t="n">
        <v>1</v>
      </c>
      <c r="I13" s="129"/>
      <c r="J13" s="129"/>
      <c r="K13" s="134" t="n">
        <f aca="false">(H13*3)+(I13*4)+(J13*6)</f>
        <v>3</v>
      </c>
      <c r="M13" s="135" t="s">
        <v>187</v>
      </c>
      <c r="N13" s="136"/>
      <c r="W13" s="7" t="s">
        <v>188</v>
      </c>
    </row>
    <row r="14" s="7" customFormat="true" ht="15" hidden="false" customHeight="false" outlineLevel="0" collapsed="false">
      <c r="A14" s="129"/>
      <c r="B14" s="130"/>
      <c r="D14" s="129"/>
      <c r="E14" s="130"/>
      <c r="G14" s="133" t="s">
        <v>189</v>
      </c>
      <c r="H14" s="129"/>
      <c r="I14" s="129"/>
      <c r="J14" s="129"/>
      <c r="K14" s="134" t="n">
        <f aca="false">(H14*4)+(I14*5)+(J14*7)</f>
        <v>0</v>
      </c>
      <c r="M14" s="135" t="s">
        <v>190</v>
      </c>
      <c r="N14" s="136"/>
    </row>
    <row r="15" s="7" customFormat="true" ht="15" hidden="false" customHeight="false" outlineLevel="0" collapsed="false">
      <c r="A15" s="129"/>
      <c r="B15" s="130"/>
      <c r="D15" s="129"/>
      <c r="E15" s="130"/>
      <c r="G15" s="133" t="s">
        <v>191</v>
      </c>
      <c r="H15" s="129" t="n">
        <v>1</v>
      </c>
      <c r="I15" s="129"/>
      <c r="J15" s="129"/>
      <c r="K15" s="134" t="n">
        <f aca="false">(H15*3)+(I15*4)+(J15*6)</f>
        <v>3</v>
      </c>
      <c r="M15" s="135" t="s">
        <v>192</v>
      </c>
      <c r="N15" s="136"/>
    </row>
    <row r="16" s="7" customFormat="true" ht="12" hidden="false" customHeight="true" outlineLevel="0" collapsed="false">
      <c r="A16" s="129"/>
      <c r="B16" s="130"/>
      <c r="D16" s="129"/>
      <c r="E16" s="130"/>
      <c r="G16" s="137" t="s">
        <v>193</v>
      </c>
      <c r="H16" s="137"/>
      <c r="I16" s="137"/>
      <c r="J16" s="137"/>
      <c r="K16" s="138" t="n">
        <f aca="false">SUM(K9,K10,K13,K14,K15)</f>
        <v>14</v>
      </c>
      <c r="M16" s="135" t="s">
        <v>194</v>
      </c>
      <c r="N16" s="136"/>
    </row>
    <row r="17" s="7" customFormat="true" ht="15" hidden="false" customHeight="false" outlineLevel="0" collapsed="false">
      <c r="A17" s="129"/>
      <c r="B17" s="130"/>
      <c r="D17" s="129"/>
      <c r="E17" s="130"/>
      <c r="M17" s="135" t="s">
        <v>195</v>
      </c>
      <c r="N17" s="136"/>
    </row>
    <row r="18" s="7" customFormat="true" ht="15" hidden="false" customHeight="false" outlineLevel="0" collapsed="false">
      <c r="A18" s="129"/>
      <c r="B18" s="130"/>
      <c r="D18" s="129"/>
      <c r="E18" s="130"/>
      <c r="M18" s="135" t="s">
        <v>196</v>
      </c>
      <c r="N18" s="136"/>
    </row>
    <row r="19" s="7" customFormat="true" ht="15" hidden="false" customHeight="false" outlineLevel="0" collapsed="false">
      <c r="A19" s="129"/>
      <c r="B19" s="130"/>
      <c r="D19" s="129"/>
      <c r="E19" s="130"/>
      <c r="M19" s="135" t="s">
        <v>197</v>
      </c>
      <c r="N19" s="136"/>
    </row>
    <row r="20" s="7" customFormat="true" ht="15" hidden="false" customHeight="false" outlineLevel="0" collapsed="false">
      <c r="A20" s="129"/>
      <c r="B20" s="130"/>
      <c r="D20" s="129"/>
      <c r="E20" s="130"/>
      <c r="M20" s="135" t="s">
        <v>198</v>
      </c>
      <c r="N20" s="136"/>
    </row>
    <row r="21" s="7" customFormat="true" ht="15" hidden="false" customHeight="false" outlineLevel="0" collapsed="false">
      <c r="M21" s="135" t="s">
        <v>199</v>
      </c>
      <c r="N21" s="136"/>
    </row>
    <row r="22" s="7" customFormat="true" ht="15" hidden="false" customHeight="false" outlineLevel="0" collapsed="false">
      <c r="M22" s="135" t="s">
        <v>200</v>
      </c>
      <c r="N22" s="136"/>
    </row>
    <row r="23" s="7" customFormat="true" ht="15" hidden="false" customHeight="false" outlineLevel="0" collapsed="false">
      <c r="M23" s="139" t="s">
        <v>201</v>
      </c>
      <c r="N23" s="140" t="n">
        <f aca="false">SUM(N9:N22)</f>
        <v>0</v>
      </c>
    </row>
    <row r="24" customFormat="false" ht="15" hidden="false" customHeight="false" outlineLevel="0" collapsed="false">
      <c r="M24" s="139" t="s">
        <v>202</v>
      </c>
      <c r="N24" s="138" t="n">
        <f aca="false">(N23*0.01)+0.65</f>
        <v>0.65</v>
      </c>
    </row>
    <row r="25" customFormat="false" ht="15" hidden="false" customHeight="false" outlineLevel="0" collapsed="false">
      <c r="M25" s="139" t="s">
        <v>203</v>
      </c>
      <c r="N25" s="141" t="n">
        <f aca="false">K16*N24</f>
        <v>9.1</v>
      </c>
    </row>
    <row r="26" customFormat="false" ht="15" hidden="false" customHeight="false" outlineLevel="0" collapsed="false">
      <c r="M26" s="139" t="s">
        <v>204</v>
      </c>
      <c r="N26" s="142" t="n">
        <v>19</v>
      </c>
    </row>
    <row r="27" customFormat="false" ht="19.7" hidden="false" customHeight="false" outlineLevel="0" collapsed="false">
      <c r="M27" s="143" t="s">
        <v>205</v>
      </c>
      <c r="N27" s="144" t="n">
        <f aca="false">N25*N26</f>
        <v>172.9</v>
      </c>
    </row>
  </sheetData>
  <mergeCells count="11">
    <mergeCell ref="A1:N1"/>
    <mergeCell ref="A2:N2"/>
    <mergeCell ref="A3:N3"/>
    <mergeCell ref="A4:N4"/>
    <mergeCell ref="A5:N5"/>
    <mergeCell ref="A7:B7"/>
    <mergeCell ref="D7:E7"/>
    <mergeCell ref="G7:K7"/>
    <mergeCell ref="M7:N7"/>
    <mergeCell ref="G11:K11"/>
    <mergeCell ref="G16:J16"/>
  </mergeCells>
  <dataValidations count="2">
    <dataValidation allowBlank="true" errorStyle="stop" operator="between" showDropDown="false" showErrorMessage="true" showInputMessage="true" sqref="B9:B20 E9:E20" type="list">
      <formula1>"Simples,Média,Complexa"</formula1>
      <formula2>0</formula2>
    </dataValidation>
    <dataValidation allowBlank="true" errorStyle="stop" operator="between" showDropDown="false" showErrorMessage="true" showInputMessage="true" sqref="N9:N22" type="list">
      <formula1>"1,2,3,4,5"</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77"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ColWidth="8.6171875" defaultRowHeight="15" zeroHeight="false" outlineLevelRow="0" outlineLevelCol="0"/>
  <cols>
    <col collapsed="false" customWidth="true" hidden="false" outlineLevel="0" max="1" min="1" style="1" width="45.5"/>
    <col collapsed="false" customWidth="true" hidden="false" outlineLevel="0" max="2" min="2" style="33" width="12.62"/>
    <col collapsed="false" customWidth="true" hidden="false" outlineLevel="0" max="3" min="3" style="1" width="12.76"/>
    <col collapsed="false" customWidth="true" hidden="false" outlineLevel="0" max="4" min="4" style="1" width="1.12"/>
    <col collapsed="false" customWidth="true" hidden="false" outlineLevel="0" max="5" min="5" style="1" width="24.88"/>
    <col collapsed="false" customWidth="true" hidden="false" outlineLevel="0" max="6" min="6" style="1" width="6.75"/>
    <col collapsed="false" customWidth="true" hidden="false" outlineLevel="0" max="7" min="7" style="1" width="7"/>
    <col collapsed="false" customWidth="true" hidden="false" outlineLevel="0" max="8" min="8" style="1" width="6.5"/>
    <col collapsed="false" customWidth="true" hidden="false" outlineLevel="0" max="9" min="9" style="1" width="7"/>
    <col collapsed="false" customWidth="true" hidden="false" outlineLevel="0" max="10" min="10" style="1" width="10.12"/>
    <col collapsed="false" customWidth="true" hidden="false" outlineLevel="0" max="11" min="11" style="1" width="7"/>
    <col collapsed="false" customWidth="true" hidden="false" outlineLevel="0" max="12" min="12" style="1" width="7.62"/>
    <col collapsed="false" customWidth="true" hidden="false" outlineLevel="0" max="13" min="13" style="1" width="7"/>
    <col collapsed="false" customWidth="true" hidden="false" outlineLevel="0" max="14" min="14" style="1" width="19.12"/>
    <col collapsed="false" customWidth="true" hidden="false" outlineLevel="0" max="1024" min="15" style="1" width="8.12"/>
    <col collapsed="false" customWidth="true" hidden="false" outlineLevel="0" max="1025" min="1025" style="0" width="9"/>
  </cols>
  <sheetData>
    <row r="1" customFormat="false" ht="19.7" hidden="false" customHeight="false" outlineLevel="0" collapsed="false">
      <c r="A1" s="126" t="s">
        <v>59</v>
      </c>
      <c r="B1" s="126"/>
      <c r="C1" s="126"/>
      <c r="D1" s="126"/>
      <c r="E1" s="126"/>
      <c r="F1" s="126"/>
      <c r="G1" s="126"/>
      <c r="H1" s="126"/>
      <c r="I1" s="126"/>
      <c r="J1" s="126"/>
      <c r="K1" s="126"/>
      <c r="L1" s="126"/>
      <c r="M1" s="126"/>
      <c r="N1" s="126"/>
    </row>
    <row r="2" customFormat="false" ht="7.5" hidden="false" customHeight="true" outlineLevel="0" collapsed="false"/>
    <row r="3" customFormat="false" ht="17.35" hidden="false" customHeight="false" outlineLevel="0" collapsed="false">
      <c r="A3" s="145" t="s">
        <v>60</v>
      </c>
      <c r="B3" s="145"/>
      <c r="C3" s="145"/>
      <c r="E3" s="145" t="s">
        <v>206</v>
      </c>
      <c r="F3" s="145"/>
      <c r="G3" s="145"/>
      <c r="H3" s="145"/>
      <c r="I3" s="145"/>
      <c r="J3" s="145"/>
      <c r="K3" s="145"/>
      <c r="L3" s="145"/>
      <c r="M3" s="145"/>
      <c r="N3" s="145"/>
    </row>
    <row r="4" customFormat="false" ht="15" hidden="false" customHeight="false" outlineLevel="0" collapsed="false">
      <c r="A4" s="146" t="s">
        <v>207</v>
      </c>
      <c r="B4" s="147" t="n">
        <v>147</v>
      </c>
      <c r="C4" s="40" t="s">
        <v>62</v>
      </c>
      <c r="E4" s="148" t="s">
        <v>208</v>
      </c>
      <c r="F4" s="149" t="s">
        <v>19</v>
      </c>
      <c r="G4" s="149"/>
      <c r="H4" s="149" t="s">
        <v>37</v>
      </c>
      <c r="I4" s="149"/>
      <c r="J4" s="149" t="s">
        <v>47</v>
      </c>
      <c r="K4" s="149"/>
      <c r="L4" s="149" t="s">
        <v>51</v>
      </c>
      <c r="M4" s="149"/>
      <c r="N4" s="150"/>
    </row>
    <row r="5" customFormat="false" ht="17.35" hidden="false" customHeight="false" outlineLevel="0" collapsed="false">
      <c r="A5" s="38" t="s">
        <v>63</v>
      </c>
      <c r="B5" s="39" t="n">
        <v>0.6</v>
      </c>
      <c r="C5" s="48" t="s">
        <v>209</v>
      </c>
      <c r="E5" s="148"/>
      <c r="F5" s="149" t="s">
        <v>20</v>
      </c>
      <c r="G5" s="149"/>
      <c r="H5" s="149" t="s">
        <v>20</v>
      </c>
      <c r="I5" s="149"/>
      <c r="J5" s="149" t="s">
        <v>20</v>
      </c>
      <c r="K5" s="149"/>
      <c r="L5" s="149" t="s">
        <v>20</v>
      </c>
      <c r="M5" s="149"/>
      <c r="N5" s="51" t="s">
        <v>210</v>
      </c>
    </row>
    <row r="6" customFormat="false" ht="15" hidden="false" customHeight="false" outlineLevel="0" collapsed="false">
      <c r="A6" s="151" t="s">
        <v>211</v>
      </c>
      <c r="B6" s="152" t="n">
        <f aca="false">B4+(B4*B5)</f>
        <v>235.2</v>
      </c>
      <c r="C6" s="48" t="s">
        <v>62</v>
      </c>
      <c r="E6" s="148"/>
      <c r="F6" s="153" t="n">
        <f aca="false">B6*G6</f>
        <v>11.76</v>
      </c>
      <c r="G6" s="154" t="n">
        <v>0.05</v>
      </c>
      <c r="H6" s="153" t="n">
        <f aca="false">B4*I6</f>
        <v>29.4</v>
      </c>
      <c r="I6" s="154" t="n">
        <v>0.2</v>
      </c>
      <c r="J6" s="153" t="n">
        <f aca="false">B4*K6</f>
        <v>95.55</v>
      </c>
      <c r="K6" s="154" t="n">
        <v>0.65</v>
      </c>
      <c r="L6" s="153" t="n">
        <f aca="false">B4*M6</f>
        <v>14.7</v>
      </c>
      <c r="M6" s="154" t="n">
        <v>0.1</v>
      </c>
      <c r="N6" s="153"/>
    </row>
    <row r="7" customFormat="false" ht="15" hidden="false" customHeight="false" outlineLevel="0" collapsed="false">
      <c r="A7" s="40" t="s">
        <v>212</v>
      </c>
      <c r="B7" s="41" t="n">
        <v>1</v>
      </c>
      <c r="C7" s="40"/>
      <c r="E7" s="155" t="s">
        <v>213</v>
      </c>
      <c r="F7" s="153" t="n">
        <f aca="false">F6*G7</f>
        <v>6.468</v>
      </c>
      <c r="G7" s="154" t="n">
        <v>0.55</v>
      </c>
      <c r="H7" s="153" t="n">
        <f aca="false">H6*I7</f>
        <v>8.82</v>
      </c>
      <c r="I7" s="154" t="n">
        <v>0.3</v>
      </c>
      <c r="J7" s="153" t="n">
        <f aca="false">J6*K7</f>
        <v>11.466</v>
      </c>
      <c r="K7" s="154" t="n">
        <v>0.12</v>
      </c>
      <c r="L7" s="153" t="n">
        <f aca="false">L6*M7</f>
        <v>0.735</v>
      </c>
      <c r="M7" s="154" t="n">
        <v>0.05</v>
      </c>
      <c r="N7" s="156" t="n">
        <f aca="false">SUM(F7,H7,J7,L7)</f>
        <v>27.489</v>
      </c>
    </row>
    <row r="8" customFormat="false" ht="15.75" hidden="false" customHeight="false" outlineLevel="0" collapsed="false">
      <c r="A8" s="40" t="s">
        <v>214</v>
      </c>
      <c r="B8" s="41" t="n">
        <v>30</v>
      </c>
      <c r="C8" s="40" t="s">
        <v>215</v>
      </c>
      <c r="E8" s="155" t="s">
        <v>216</v>
      </c>
      <c r="F8" s="153" t="n">
        <f aca="false">F6*G8</f>
        <v>1.764</v>
      </c>
      <c r="G8" s="154" t="n">
        <v>0.15</v>
      </c>
      <c r="H8" s="153" t="n">
        <f aca="false">H6*I8</f>
        <v>5.88</v>
      </c>
      <c r="I8" s="154" t="n">
        <v>0.2</v>
      </c>
      <c r="J8" s="153" t="n">
        <f aca="false">J6*K8</f>
        <v>9.555</v>
      </c>
      <c r="K8" s="154" t="n">
        <v>0.1</v>
      </c>
      <c r="L8" s="153" t="n">
        <f aca="false">L6*M8</f>
        <v>0.735</v>
      </c>
      <c r="M8" s="154" t="n">
        <v>0.05</v>
      </c>
      <c r="N8" s="156" t="n">
        <f aca="false">SUM(F8,H8,J8,L8)</f>
        <v>17.934</v>
      </c>
    </row>
    <row r="9" customFormat="false" ht="15" hidden="false" customHeight="false" outlineLevel="0" collapsed="false">
      <c r="A9" s="40" t="s">
        <v>217</v>
      </c>
      <c r="B9" s="41" t="n">
        <v>2</v>
      </c>
      <c r="C9" s="40" t="s">
        <v>73</v>
      </c>
      <c r="E9" s="155" t="s">
        <v>218</v>
      </c>
      <c r="F9" s="153" t="n">
        <f aca="false">F6*G9</f>
        <v>0.2352</v>
      </c>
      <c r="G9" s="154" t="n">
        <v>0.02</v>
      </c>
      <c r="H9" s="153" t="n">
        <f aca="false">H6*I9</f>
        <v>5.88</v>
      </c>
      <c r="I9" s="154" t="n">
        <v>0.2</v>
      </c>
      <c r="J9" s="153" t="n">
        <f aca="false">J6*K9</f>
        <v>38.22</v>
      </c>
      <c r="K9" s="154" t="n">
        <v>0.4</v>
      </c>
      <c r="L9" s="153" t="n">
        <f aca="false">L6*M9</f>
        <v>2.205</v>
      </c>
      <c r="M9" s="154" t="n">
        <v>0.15</v>
      </c>
      <c r="N9" s="156" t="n">
        <f aca="false">SUM(F9,H9,J9,L9)</f>
        <v>46.5402</v>
      </c>
    </row>
    <row r="10" customFormat="false" ht="15" hidden="false" customHeight="false" outlineLevel="0" collapsed="false">
      <c r="A10" s="157" t="s">
        <v>219</v>
      </c>
      <c r="B10" s="158" t="n">
        <f aca="false">(B7*B8)*B9</f>
        <v>60</v>
      </c>
      <c r="C10" s="157" t="s">
        <v>62</v>
      </c>
      <c r="E10" s="155" t="s">
        <v>220</v>
      </c>
      <c r="F10" s="153" t="n">
        <f aca="false">F6*G10</f>
        <v>0.588</v>
      </c>
      <c r="G10" s="154" t="n">
        <v>0.05</v>
      </c>
      <c r="H10" s="153" t="n">
        <f aca="false">H6*I10</f>
        <v>2.352</v>
      </c>
      <c r="I10" s="154" t="n">
        <v>0.08</v>
      </c>
      <c r="J10" s="153" t="n">
        <f aca="false">J6*K10</f>
        <v>9.555</v>
      </c>
      <c r="K10" s="154" t="n">
        <v>0.1</v>
      </c>
      <c r="L10" s="153" t="n">
        <f aca="false">L6*M10</f>
        <v>1.47</v>
      </c>
      <c r="M10" s="154" t="n">
        <v>0.1</v>
      </c>
      <c r="N10" s="156" t="n">
        <f aca="false">SUM(F10,H10,J10,L10)</f>
        <v>13.965</v>
      </c>
    </row>
    <row r="11" customFormat="false" ht="15" hidden="false" customHeight="false" outlineLevel="0" collapsed="false">
      <c r="A11" s="146" t="s">
        <v>221</v>
      </c>
      <c r="B11" s="159" t="n">
        <f aca="false">B6/B10*2</f>
        <v>7.84</v>
      </c>
      <c r="C11" s="146" t="s">
        <v>73</v>
      </c>
      <c r="E11" s="155" t="s">
        <v>222</v>
      </c>
      <c r="F11" s="153" t="n">
        <f aca="false">F6*G11</f>
        <v>0</v>
      </c>
      <c r="G11" s="154" t="n">
        <v>0</v>
      </c>
      <c r="H11" s="153" t="n">
        <f aca="false">H6*I11</f>
        <v>0.588</v>
      </c>
      <c r="I11" s="154" t="n">
        <v>0.02</v>
      </c>
      <c r="J11" s="153" t="n">
        <f aca="false">J6*K11</f>
        <v>4.7775</v>
      </c>
      <c r="K11" s="154" t="n">
        <v>0.05</v>
      </c>
      <c r="L11" s="153" t="n">
        <f aca="false">L6*M11</f>
        <v>1.47</v>
      </c>
      <c r="M11" s="154" t="n">
        <v>0.1</v>
      </c>
      <c r="N11" s="156" t="n">
        <f aca="false">SUM(F11,H11,J11,L11)</f>
        <v>6.8355</v>
      </c>
    </row>
    <row r="12" customFormat="false" ht="15" hidden="false" customHeight="false" outlineLevel="0" collapsed="false">
      <c r="A12" s="146" t="s">
        <v>223</v>
      </c>
      <c r="B12" s="159" t="n">
        <f aca="false">B11/4</f>
        <v>1.96</v>
      </c>
      <c r="C12" s="146" t="s">
        <v>75</v>
      </c>
      <c r="E12" s="160" t="s">
        <v>224</v>
      </c>
      <c r="F12" s="161" t="n">
        <f aca="false">SUM(F7:F11)</f>
        <v>9.0552</v>
      </c>
      <c r="G12" s="162" t="n">
        <f aca="false">SUM(G7:G11)</f>
        <v>0.77</v>
      </c>
      <c r="H12" s="161" t="n">
        <f aca="false">SUM(H7:H11)</f>
        <v>23.52</v>
      </c>
      <c r="I12" s="162" t="n">
        <f aca="false">SUM(I7:I11)</f>
        <v>0.8</v>
      </c>
      <c r="J12" s="161" t="n">
        <f aca="false">SUM(J7:J11)</f>
        <v>73.5735</v>
      </c>
      <c r="K12" s="162" t="n">
        <f aca="false">SUM(K7:K11)</f>
        <v>0.77</v>
      </c>
      <c r="L12" s="161" t="n">
        <f aca="false">SUM(L7:L11)</f>
        <v>6.615</v>
      </c>
      <c r="M12" s="162" t="n">
        <f aca="false">SUM(M7:M11)</f>
        <v>0.45</v>
      </c>
      <c r="N12" s="160"/>
    </row>
    <row r="13" customFormat="false" ht="15" hidden="false" customHeight="false" outlineLevel="0" collapsed="false">
      <c r="A13" s="157" t="s">
        <v>225</v>
      </c>
      <c r="B13" s="163" t="n">
        <f aca="false">B11/B9</f>
        <v>3.92</v>
      </c>
      <c r="C13" s="157" t="s">
        <v>226</v>
      </c>
      <c r="E13" s="155" t="s">
        <v>227</v>
      </c>
      <c r="F13" s="153" t="n">
        <f aca="false">F6*G13</f>
        <v>0.3528</v>
      </c>
      <c r="G13" s="154" t="n">
        <v>0.03</v>
      </c>
      <c r="H13" s="153" t="n">
        <f aca="false">H6*I13</f>
        <v>2.352</v>
      </c>
      <c r="I13" s="154" t="n">
        <v>0.08</v>
      </c>
      <c r="J13" s="153" t="n">
        <f aca="false">J6*K13</f>
        <v>12.4215</v>
      </c>
      <c r="K13" s="154" t="n">
        <v>0.13</v>
      </c>
      <c r="L13" s="153" t="n">
        <f aca="false">L6*M13</f>
        <v>4.41</v>
      </c>
      <c r="M13" s="154" t="n">
        <v>0.3</v>
      </c>
      <c r="N13" s="156" t="n">
        <f aca="false">SUM(F13,H13,J13,L13)</f>
        <v>19.5363</v>
      </c>
    </row>
    <row r="14" customFormat="false" ht="15" hidden="false" customHeight="false" outlineLevel="0" collapsed="false">
      <c r="E14" s="155" t="s">
        <v>228</v>
      </c>
      <c r="F14" s="153" t="n">
        <f aca="false">F6*G14</f>
        <v>2.352</v>
      </c>
      <c r="G14" s="154" t="n">
        <v>0.2</v>
      </c>
      <c r="H14" s="153" t="n">
        <f aca="false">H6*I14</f>
        <v>3.528</v>
      </c>
      <c r="I14" s="154" t="n">
        <v>0.12</v>
      </c>
      <c r="J14" s="153" t="n">
        <f aca="false">J6*K14</f>
        <v>9.555</v>
      </c>
      <c r="K14" s="154" t="n">
        <v>0.1</v>
      </c>
      <c r="L14" s="153" t="n">
        <f aca="false">L6*M14</f>
        <v>3.675</v>
      </c>
      <c r="M14" s="154" t="n">
        <v>0.25</v>
      </c>
      <c r="N14" s="156" t="n">
        <f aca="false">SUM(F14,H14,J14,L14)</f>
        <v>19.11</v>
      </c>
    </row>
    <row r="15" customFormat="false" ht="15" hidden="false" customHeight="false" outlineLevel="0" collapsed="false">
      <c r="E15" s="160" t="s">
        <v>229</v>
      </c>
      <c r="F15" s="161" t="n">
        <f aca="false">SUM(F13:F14)</f>
        <v>2.7048</v>
      </c>
      <c r="G15" s="162" t="n">
        <f aca="false">SUM(G13:G14)</f>
        <v>0.23</v>
      </c>
      <c r="H15" s="161" t="n">
        <f aca="false">SUM(H13:H14)</f>
        <v>5.88</v>
      </c>
      <c r="I15" s="162" t="n">
        <f aca="false">SUM(I13:I14)</f>
        <v>0.2</v>
      </c>
      <c r="J15" s="161" t="n">
        <f aca="false">SUM(J13:J14)</f>
        <v>21.9765</v>
      </c>
      <c r="K15" s="162" t="n">
        <f aca="false">SUM(K13:K14)</f>
        <v>0.23</v>
      </c>
      <c r="L15" s="161" t="n">
        <f aca="false">SUM(L13:L14)</f>
        <v>8.085</v>
      </c>
      <c r="M15" s="162" t="n">
        <f aca="false">SUM(M13:M14)</f>
        <v>0.55</v>
      </c>
      <c r="N15" s="160"/>
    </row>
    <row r="16" customFormat="false" ht="17.35" hidden="false" customHeight="false" outlineLevel="0" collapsed="false">
      <c r="A16" s="145" t="s">
        <v>76</v>
      </c>
      <c r="B16" s="145"/>
      <c r="C16" s="145"/>
      <c r="E16" s="51" t="s">
        <v>230</v>
      </c>
      <c r="F16" s="164" t="n">
        <f aca="false">F12+F15</f>
        <v>11.76</v>
      </c>
      <c r="G16" s="165" t="n">
        <f aca="false">G12+G15</f>
        <v>1</v>
      </c>
      <c r="H16" s="164" t="n">
        <f aca="false">H12+H15</f>
        <v>29.4</v>
      </c>
      <c r="I16" s="165" t="n">
        <f aca="false">I12+I15</f>
        <v>1</v>
      </c>
      <c r="J16" s="164" t="n">
        <f aca="false">J12+J15</f>
        <v>95.55</v>
      </c>
      <c r="K16" s="165" t="n">
        <f aca="false">K12+K15</f>
        <v>1</v>
      </c>
      <c r="L16" s="164" t="n">
        <f aca="false">L12+L15</f>
        <v>14.7</v>
      </c>
      <c r="M16" s="165" t="n">
        <f aca="false">M12+M15</f>
        <v>1</v>
      </c>
      <c r="N16" s="166" t="n">
        <f aca="false">SUM(N7:N11,N13,N14)</f>
        <v>151.41</v>
      </c>
    </row>
    <row r="17" customFormat="false" ht="15" hidden="false" customHeight="false" outlineLevel="0" collapsed="false">
      <c r="A17" s="40" t="s">
        <v>77</v>
      </c>
      <c r="B17" s="167" t="n">
        <v>20</v>
      </c>
      <c r="C17" s="48"/>
      <c r="N17" s="94"/>
    </row>
    <row r="18" customFormat="false" ht="15" hidden="false" customHeight="false" outlineLevel="0" collapsed="false">
      <c r="A18" s="40" t="s">
        <v>78</v>
      </c>
      <c r="B18" s="49" t="n">
        <f aca="false">B6*B17</f>
        <v>4704</v>
      </c>
      <c r="C18" s="48"/>
      <c r="L18" s="94"/>
      <c r="N18" s="94"/>
    </row>
    <row r="19" customFormat="false" ht="15" hidden="false" customHeight="false" outlineLevel="0" collapsed="false">
      <c r="A19" s="40" t="s">
        <v>79</v>
      </c>
      <c r="B19" s="39" t="n">
        <v>0</v>
      </c>
      <c r="C19" s="48"/>
      <c r="N19" s="94"/>
    </row>
    <row r="20" customFormat="false" ht="15" hidden="false" customHeight="false" outlineLevel="0" collapsed="false">
      <c r="A20" s="40" t="s">
        <v>80</v>
      </c>
      <c r="B20" s="50" t="n">
        <f aca="false">B18*B19</f>
        <v>0</v>
      </c>
      <c r="C20" s="48"/>
      <c r="L20" s="94"/>
      <c r="N20" s="94"/>
    </row>
    <row r="21" customFormat="false" ht="15" hidden="false" customHeight="false" outlineLevel="0" collapsed="false">
      <c r="A21" s="36" t="s">
        <v>231</v>
      </c>
      <c r="B21" s="168" t="n">
        <f aca="false">B18+B20</f>
        <v>4704</v>
      </c>
      <c r="C21" s="48"/>
      <c r="N21" s="94"/>
    </row>
    <row r="22" customFormat="false" ht="15" hidden="false" customHeight="false" outlineLevel="0" collapsed="false">
      <c r="A22" s="40" t="s">
        <v>82</v>
      </c>
      <c r="B22" s="39" t="n">
        <v>0.2</v>
      </c>
      <c r="C22" s="48"/>
      <c r="J22" s="94"/>
    </row>
    <row r="23" customFormat="false" ht="15" hidden="false" customHeight="false" outlineLevel="0" collapsed="false">
      <c r="A23" s="40" t="s">
        <v>83</v>
      </c>
      <c r="B23" s="53" t="n">
        <f aca="false">B21*B22</f>
        <v>940.8</v>
      </c>
      <c r="C23" s="48"/>
    </row>
    <row r="24" customFormat="false" ht="15" hidden="false" customHeight="false" outlineLevel="0" collapsed="false">
      <c r="A24" s="36" t="s">
        <v>232</v>
      </c>
      <c r="B24" s="168" t="n">
        <f aca="false">B21+B23</f>
        <v>5644.8</v>
      </c>
      <c r="C24" s="48"/>
    </row>
    <row r="26" customFormat="false" ht="15" hidden="false" customHeight="false" outlineLevel="0" collapsed="false">
      <c r="J26" s="94"/>
    </row>
    <row r="27" customFormat="false" ht="15" hidden="false" customHeight="false" outlineLevel="0" collapsed="false">
      <c r="J27" s="94"/>
    </row>
    <row r="28" customFormat="false" ht="15" hidden="false" customHeight="false" outlineLevel="0" collapsed="false">
      <c r="N28" s="94"/>
    </row>
    <row r="29" customFormat="false" ht="15" hidden="false" customHeight="false" outlineLevel="0" collapsed="false">
      <c r="N29" s="94"/>
    </row>
  </sheetData>
  <mergeCells count="13">
    <mergeCell ref="A1:N1"/>
    <mergeCell ref="A3:C3"/>
    <mergeCell ref="E3:N3"/>
    <mergeCell ref="E4:E6"/>
    <mergeCell ref="F4:G4"/>
    <mergeCell ref="H4:I4"/>
    <mergeCell ref="J4:K4"/>
    <mergeCell ref="L4:M4"/>
    <mergeCell ref="F5:G5"/>
    <mergeCell ref="H5:I5"/>
    <mergeCell ref="J5:K5"/>
    <mergeCell ref="L5:M5"/>
    <mergeCell ref="A16:C16"/>
  </mergeCell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468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2025-06-04T07:35:10Z</dcterms:created>
  <dc:creator>Brian Wealth</dc:creator>
  <dc:description/>
  <dc:language>en-US</dc:language>
  <cp:lastModifiedBy/>
  <dcterms:modified xsi:type="dcterms:W3CDTF">2025-12-02T14:33:47Z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